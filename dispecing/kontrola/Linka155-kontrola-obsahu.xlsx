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ávod" sheetId="1" state="visible" r:id="rId3"/>
    <sheet name="Situácie" sheetId="2" state="visible" r:id="rId4"/>
    <sheet name="Stromy K-N-M-O" sheetId="3" state="visible" r:id="rId5"/>
    <sheet name="Otázky k problému" sheetId="4" state="visible" r:id="rId6"/>
    <sheet name="Rady pri O" sheetId="5" state="visible" r:id="rId7"/>
    <sheet name="TANR" sheetId="6" state="visible" r:id="rId8"/>
  </sheets>
  <definedNames>
    <definedName function="false" hidden="true" localSheetId="1" name="_xlnm._FilterDatabase" vbProcedure="false">Situácie!$A$2:$U$89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<sst xmlns="http://schemas.openxmlformats.org/spreadsheetml/2006/main" count="2792" uniqueCount="1278">
  <si>
    <t xml:space="preserve">Linka 155 – kontrola odborného obsahu hry</t>
  </si>
  <si>
    <t xml:space="preserve">Verzia 26. 10. 2026 · hra pre študentov záchranárstva · kritériá sú zjednodušené a napísané vlastnými slovami, nejde o oficiálnu pomôcku OS ZZS SR.</t>
  </si>
  <si>
    <t xml:space="preserve">Čo kontrolovať</t>
  </si>
  <si>
    <t xml:space="preserve">Či sedí naliehavosť K/N/M/O, kategória, súčinnosť IZS, nemocnica a pokyny volajúcemu – správne aj zámerne chybné (hráč ich má rozpoznať).</t>
  </si>
  <si>
    <t xml:space="preserve">Kde písať</t>
  </si>
  <si>
    <t xml:space="preserve">Iba do žltých stĺpcov „Súhlasím?“ (áno / nie / čiastočne) a „Pripomienka“. Ostatné bunky nemeň.</t>
  </si>
  <si>
    <t xml:space="preserve">Predkontrola</t>
  </si>
  <si>
    <t xml:space="preserve">Stĺpec „Predkontrola“ som vyplnil ja (Claude, so skriptami ERC zo skillu partak-155). Oranžové bunky označujú výhradu alebo otázku na teba.</t>
  </si>
  <si>
    <t xml:space="preserve">Hárky</t>
  </si>
  <si>
    <t xml:space="preserve">Situácie – 87 hovorov v hre. Otázky k problému – neutrálne otázky podľa kategórie a sugestívne chytáky. Rady pri O – čo operátor poradí pri odkladnom hovore. Stromy K-N-M-O – kritériá podľa kategórií. TANR – kroky telefonickej resuscitácie a pokyny pri zástave.</t>
  </si>
  <si>
    <t xml:space="preserve">Typ volajúceho</t>
  </si>
  <si>
    <t xml:space="preserve">H1 – volá sám pacient (vedomie sa nepýta). H2 – volajúci je pri pacientovi. H3 – volajúci nie je pri pacientovi: hráč to má zistiť otázkou „Ste pri pacientovi?“, pýta si kontakt na niekoho pri pacientovi a zavolá späť. Skryté H3 nie je poznať z úvodu.</t>
  </si>
  <si>
    <t xml:space="preserve">Pravidlá vysielania</t>
  </si>
  <si>
    <t xml:space="preserve">K: najbližšia voľná posádka a k nej lekár (RLP, alebo RZP s RV či RLP). N: RZP, RLP len keď je bližšie. M: RZP bez majákov. O: bez výjazdu. Ku K a N vyslať do 90 s od prijatia hovoru.</t>
  </si>
  <si>
    <t xml:space="preserve">Súčinnosť IZS</t>
  </si>
  <si>
    <t xml:space="preserve">Hasiči (HaZZ): vyslobodenie z auta, otvorenie bytu, ťažký pacient, oheň, voda, plyn. Polícia (PZ): dopravná nehoda, resuscitácia alebo bezvedomie na verejnosti, úmrtie na verejnosti alebo za nejasných okolností, agresia, nútený prevoz, opitý maloletý. Mestská polícia (MsP): preverenie, keď volajúci neostane na mieste.</t>
  </si>
  <si>
    <t xml:space="preserve">Skratky</t>
  </si>
  <si>
    <t xml:space="preserve">K kritický, N naliehavý, M menej naliehavý, O odkladný · RZP, RLP, RV (lekár v stretávacom systéme), LZS (vrtuľník), HZS (horská služba) · NTIC – toxikologické centrum · TANR – telefonicky asistovaná resuscitácia · AED – automatický externý defibrilátor.</t>
  </si>
  <si>
    <t xml:space="preserve">Príklad vyplnenia</t>
  </si>
  <si>
    <t xml:space="preserve">Situácia</t>
  </si>
  <si>
    <t xml:space="preserve">Krátky kolaps</t>
  </si>
  <si>
    <t xml:space="preserve">Súhlasím?</t>
  </si>
  <si>
    <t xml:space="preserve">nie</t>
  </si>
  <si>
    <t xml:space="preserve">Pripomienka</t>
  </si>
  <si>
    <t xml:space="preserve">Pri 16-ročnej je kolaps u dieťaťa – N. Inak súhlasím.</t>
  </si>
  <si>
    <t xml:space="preserve">Stav kontroly</t>
  </si>
  <si>
    <t xml:space="preserve">Situácií spolu</t>
  </si>
  <si>
    <t xml:space="preserve">Skontrolované situácie</t>
  </si>
  <si>
    <t xml:space="preserve">Situácie s „nie“ / „čiastočne“</t>
  </si>
  <si>
    <t xml:space="preserve">Výhrady z predkontroly (situácie)</t>
  </si>
  <si>
    <t xml:space="preserve">Kritériá stromov s „nie“ / „čiastočne“</t>
  </si>
  <si>
    <t xml:space="preserve">Kroky TANR s „nie“ / „čiastočne“</t>
  </si>
  <si>
    <t xml:space="preserve">Otázky k problému s „nie“ / „čiastočne“</t>
  </si>
  <si>
    <t xml:space="preserve">Rady pri O s „nie“ / „čiastočne“</t>
  </si>
  <si>
    <t xml:space="preserve">Situácie v hre – čo hovorí volajúci a čo je správne</t>
  </si>
  <si>
    <t xml:space="preserve">#</t>
  </si>
  <si>
    <t xml:space="preserve">Kategória</t>
  </si>
  <si>
    <t xml:space="preserve">Naliehavosť</t>
  </si>
  <si>
    <t xml:space="preserve">Čo povie volajúci</t>
  </si>
  <si>
    <t xml:space="preserve">Vedomie</t>
  </si>
  <si>
    <t xml:space="preserve">Dýchanie</t>
  </si>
  <si>
    <t xml:space="preserve">Farba kože / obeh</t>
  </si>
  <si>
    <t xml:space="preserve">Úraz</t>
  </si>
  <si>
    <t xml:space="preserve">Krvácanie</t>
  </si>
  <si>
    <t xml:space="preserve">Prístup, nebezpečenstvo</t>
  </si>
  <si>
    <t xml:space="preserve">Otázky k problému – odpovede tejto situácie (★ kľúčová)</t>
  </si>
  <si>
    <t xml:space="preserve">Vrtuľník</t>
  </si>
  <si>
    <t xml:space="preserve">Nemocnica</t>
  </si>
  <si>
    <t xml:space="preserve">Riešenie bez výjazdu</t>
  </si>
  <si>
    <t xml:space="preserve">Pokyny volajúcemu – správne</t>
  </si>
  <si>
    <t xml:space="preserve">Pokyny – chybné (a prečo)</t>
  </si>
  <si>
    <t xml:space="preserve">Náhle zastavenie obehu</t>
  </si>
  <si>
    <t xml:space="preserve">Dojča nedýcha
H2 · pri ňom</t>
  </si>
  <si>
    <t xml:space="preserve">K</t>
  </si>
  <si>
    <t xml:space="preserve">„Synček v postieľke nedýcha, je celý modrý!“</t>
  </si>
  <si>
    <t xml:space="preserve">Nereaguje, je úplne ochabnutý!</t>
  </si>
  <si>
    <t xml:space="preserve">Nedýcha… nevidím, že by dýchal!</t>
  </si>
  <si>
    <t xml:space="preserve">Je modrý až sivý.</t>
  </si>
  <si>
    <t xml:space="preserve">Nie, spal v postieľke.</t>
  </si>
  <si>
    <t xml:space="preserve">Nie, nekrváca.</t>
  </si>
  <si>
    <t xml:space="preserve">Sme v detskej izbe, som s ním sama.</t>
  </si>
  <si>
    <t xml:space="preserve">• ★ Kedy sa to začalo? Prišlo to náhle? → Pred hodinou, keď som ho uložila spať.
• Dýcha normálne, alebo len občas zalapá po dychu? → Nedýcha… vôbec!
• Je studený, stuhnutý, má na tele fialové škvrny? → Nie, je teplý.
• Lieči sa s niečím dlhodobo? → Nie, je zdravý.
• ★ Koľko má rokov? → Štyri mesiace.
• Je tam ešte niekto, kto môže pomôcť? → Nie, som tu sama.</t>
  </si>
  <si>
    <t xml:space="preserve">–</t>
  </si>
  <si>
    <t xml:space="preserve">detská</t>
  </si>
  <si>
    <t xml:space="preserve">• Nech niekto otvorí dvere a čaká na záchranku pred domom.
• Neprestávajte, kým nepríde posádka, aj keď sa vám zdá, že to nepomáha.</t>
  </si>
  <si>
    <t xml:space="preserve">• Zatraste ním, aby sa prebral. – trasenie dojčaťa je nebezpečné a stráca čas – treba hneď stláčať a vdychovať.
• Dajte mu napiť, nech sa preberie. – dojča bez vedomia nevie prehĺtať – voda mu zatečie do dýchacích ciest.</t>
  </si>
  <si>
    <t xml:space="preserve">Nové: TANR dojčaťa – dva prsty, asi 4 cm, ak to volajúci vie, 5 vdychov do úst aj nosa a 15 : 2.</t>
  </si>
  <si>
    <t xml:space="preserve">Otec spadol na videohovore
H3 · nie je pri ňom</t>
  </si>
  <si>
    <t xml:space="preserve">„Volám z Nemecka – otec mi na videohovore spadol zo stoličky a nereaguje! Mama je doma s ním.“</t>
  </si>
  <si>
    <t xml:space="preserve">Neviem, cez kameru nereagoval.</t>
  </si>
  <si>
    <t xml:space="preserve">Neviem, kamera ukazuje len strop.</t>
  </si>
  <si>
    <t xml:space="preserve">Neviem.</t>
  </si>
  <si>
    <t xml:space="preserve">Spadol zo stoličky.</t>
  </si>
  <si>
    <t xml:space="preserve">Mama je doma s ním, dvere otvorí.</t>
  </si>
  <si>
    <t xml:space="preserve">• Ste pri pacientovi? → Nie, som v Nemecku, videl som to cez kameru.
• Máte číslo na niekoho pri ňom? → Áno, mama má mobil, dám vám číslo.
• Čo vie volajúci:
• ★ Kedy sa to začalo? Prišlo to náhle? → Pred minútou, keď sme sa rozprávali.
• ★ Lieči sa s niečím dlhodobo? → Má zlé srdce.
• ★ Koľko má rokov? → Šesťdesiatosem.
• ★ Je tam ešte niekto, kto môže pomôcť? → Mama je doma s ním.
• Po zavolaní späť: „Haló? Áno, som pri ňom, leží na zemi a nereaguje!“
• Dýcha normálne, alebo len občas zalapá po dychu? → Len občas zalapá po dychu!
• Stláča mu niekto hrudník? → Nie, neviem ako.
• Kedy sa to začalo? Prišlo to náhle? → Pred minútou spadol.
• Lieči sa s niečím dlhodobo? → Má zlé srdce.
• Je studený, stuhnutý, má na tele fialové škvrny? → Nie, je teplý.
• Je tam ešte niekto, kto môže pomôcť? → Som tu sama.
• Koľko má rokov? → Šesťdesiatosem.</t>
  </si>
  <si>
    <t xml:space="preserve">kardiocentrum (PCI)</t>
  </si>
  <si>
    <t xml:space="preserve">• Pošlite niekoho po defibrilátor (AED), ak je nablízku, a keď ho prinesie, zapnite ho a robte, čo hovorí.
• Nech niekto otvorí dvere a čaká na záchranku pred domom.
• Ak je vás viac, každé dve minúty sa pri stláčaní vystriedajte.</t>
  </si>
  <si>
    <t xml:space="preserve">• Prestaňte na chvíľu stláčať a skúste mu nahmatať pulz. – každé prerušenie stláčania znižuje šancu na prežitie – stláča sa bez prestávky, kým nepríde posádka.
• Dajte mu napiť vody, nech sa preberie. – človek bez vedomia nevie prehĺtať a voda mu zatečie do dýchacích ciest.</t>
  </si>
  <si>
    <t xml:space="preserve">Nové (H3): zástava; TANR je možná až po zavolaní mame, ktorá je pri ňom.</t>
  </si>
  <si>
    <t xml:space="preserve">Náhle zastavenie obehu
(aj: Úrazy)</t>
  </si>
  <si>
    <t xml:space="preserve">Vytiahnutý z vody
H2 · pri ňom</t>
  </si>
  <si>
    <t xml:space="preserve">„Vytiahli sme z vody chlapa, nehýbe sa!“</t>
  </si>
  <si>
    <t xml:space="preserve">Nereaguje, je studený a mokrý.</t>
  </si>
  <si>
    <t xml:space="preserve">Nedýcha, z úst mu tečie voda!</t>
  </si>
  <si>
    <t xml:space="preserve">Je modrý.</t>
  </si>
  <si>
    <t xml:space="preserve">Skočil do vody a už sa nevynoril, vytiahli sme ho po pár minútach.</t>
  </si>
  <si>
    <t xml:space="preserve">Leží na móle, k vode sa dá prísť autom.</t>
  </si>
  <si>
    <t xml:space="preserve">• Kedy sa to začalo? Prišlo to náhle? → Pred chvíľou sme ho vytiahli.
• Dýcha normálne, alebo len občas zalapá po dychu? → Nedýcha, z úst mu tečie voda.
• Stláča mu niekto hrudník? → Nie, nevieme ako.
• Lieči sa s niečím dlhodobo? → Neviem, nepoznám ho.
• Koľko má rokov? → Mladý, okolo dvadsať.
• Je tam ešte niekto, kto môže pomôcť? → Áno, je nás tu viac.
• Ako dlho bol pod vodou? → Asi tri, štyri minúty.
• Bola voda studená? → Voda je ešte dosť studená.</t>
  </si>
  <si>
    <t xml:space="preserve">Polícia (PZ)</t>
  </si>
  <si>
    <t xml:space="preserve">všeobecná</t>
  </si>
  <si>
    <t xml:space="preserve">Doplnené: TANR pri utopenom – ak to volajúci vie, 5 úvodných vdychov, potom 30 : 2, inak len stláčanie.</t>
  </si>
  <si>
    <t xml:space="preserve">Zástava srdca
H2 · pri ňom</t>
  </si>
  <si>
    <t xml:space="preserve">„Manžel spadol na zem a nehýbe sa! Bývame [miesto].“
„Otec sa zrútil v záhrade a nereaguje!“</t>
  </si>
  <si>
    <t xml:space="preserve">Nereaguje! Ani keď ním trasiem a kričím na neho!</t>
  </si>
  <si>
    <t xml:space="preserve">Neviem… len občas tak divne zalapá, ako keby chrápal.</t>
  </si>
  <si>
    <t xml:space="preserve">Je sivý, pery má fialové.</t>
  </si>
  <si>
    <t xml:space="preserve">Nie, len sa zrútil.</t>
  </si>
  <si>
    <t xml:space="preserve">Leží na zemi v obývačke, dvere sú otvorené.</t>
  </si>
  <si>
    <t xml:space="preserve">• ★ Kedy sa to začalo? Prišlo to náhle? → Asi tri minúty, spadol pri obede.
• ★ Dýcha normálne, alebo len občas zalapá po dychu? → Len občas zalapá, inak nedýcha!
• Je nablízku defibrilátor (AED)? → Neviem, asi nie.
• Lieči sa s niečím dlhodobo? → Mal vysoký tlak.
• Koľko má rokov? → Šesťdesiatdva.
• Je tam ešte niekto, kto môže pomôcť? → Nie, som tu sama.</t>
  </si>
  <si>
    <t xml:space="preserve">Sedí so skriptom TANR (lapavé dychy = nedýcha).</t>
  </si>
  <si>
    <t xml:space="preserve">Zástava srdca na ulici
H2 · pri ňom</t>
  </si>
  <si>
    <t xml:space="preserve">„Na zastávke sa zrútil nejaký pán a leží na zemi!“
„Pri obchode spadol muž a nikto nevie, čo s ním!“</t>
  </si>
  <si>
    <t xml:space="preserve">Nereaguje, pozerá do prázdna.</t>
  </si>
  <si>
    <t xml:space="preserve">Nedýcha… teda len raz za čas tak zalapá po dychu.</t>
  </si>
  <si>
    <t xml:space="preserve">Je celý sivý.</t>
  </si>
  <si>
    <t xml:space="preserve">Nie, sám od seba sa zvalil.</t>
  </si>
  <si>
    <t xml:space="preserve">Trochu z hlavy, ako padol na chodník.</t>
  </si>
  <si>
    <t xml:space="preserve">Sme na ulici, je tu veľa ľudí. Kúsok odtiaľto je lekáreň.</t>
  </si>
  <si>
    <t xml:space="preserve">• Kedy sa to začalo? Prišlo to náhle? → Pred chvíľou, len sa zvalil.
• Dýcha normálne, alebo len občas zalapá po dychu? → Len raz za čas zalapá po dychu.
• ★ Je nablízku defibrilátor (AED)? → V lekárni oproti majú na stene AED!
• Lieči sa s niečím dlhodobo? → Neviem, nepoznám ho.
• Koľko má rokov? → Asi šesťdesiat.
• ★ Je tam ešte niekto, kto môže pomôcť? → Je tu jedna pani, hovorí, že je zdravotná sestra.</t>
  </si>
  <si>
    <t xml:space="preserve">Sedí. PZ pri zástave na verejnosti podľa tvojho pravidla, AED je v pokynoch.</t>
  </si>
  <si>
    <t xml:space="preserve">Isté známky smrti
H2 · pri ňom</t>
  </si>
  <si>
    <t xml:space="preserve">O</t>
  </si>
  <si>
    <t xml:space="preserve">„Dobrý deň… starý otec ráno nevstal. Myslím, že už nežije.“</t>
  </si>
  <si>
    <t xml:space="preserve">Nereaguje. Je studený.</t>
  </si>
  <si>
    <t xml:space="preserve">Nedýcha. Je celý stuhnutý a na chrbte má fialové škvrny.</t>
  </si>
  <si>
    <t xml:space="preserve">Je bledý a studený, má fialové fľaky.</t>
  </si>
  <si>
    <t xml:space="preserve">Nie, ležal v posteli, bol dlho chorý.</t>
  </si>
  <si>
    <t xml:space="preserve">Je v posteli, som tu s babkou.</t>
  </si>
  <si>
    <t xml:space="preserve">• ★ Kedy sa to začalo? Prišlo to náhle? → Večer o desiatej, išiel spať.
• Dýcha normálne, alebo len občas zalapá po dychu? → Nedýcha vôbec.
• Stláča mu niekto hrudník? → Nie… je už studený.
• Je nablízku defibrilátor (AED)? → Nie.
• Je studený, stuhnutý, má na tele fialové škvrny? → Áno, je studený, stuhnutý a na chrbte má fialové škvrny.
• ★ Lieči sa s niečím dlhodobo? → Áno, mal rakovinu, chodila k nemu doktorka.
• Koľko má rokov? → Osemdesiatšesť.
• Je tam ešte niekto, kto môže pomôcť? → Je tu so mnou babka.</t>
  </si>
  <si>
    <t xml:space="preserve">Úmrtie doma – prehliadka mŕtveho tela</t>
  </si>
  <si>
    <t xml:space="preserve">Podľa tvojej odpovede: doma pri dlho chorom bez podozrenia stačí prehliadka mŕtveho tela, polícia netreba.</t>
  </si>
  <si>
    <t xml:space="preserve">Mŕtvy na lavičke
H2 · pri ňom</t>
  </si>
  <si>
    <t xml:space="preserve">„V parku na lavičke sedí muž, vôbec sa nehýbe a je úplne studený.“</t>
  </si>
  <si>
    <t xml:space="preserve">Nereaguje, ani keď som ním zatriasol.</t>
  </si>
  <si>
    <t xml:space="preserve">Nedýcha, je celý stuhnutý.</t>
  </si>
  <si>
    <t xml:space="preserve">Je sivý a na rukách má fialové fľaky.</t>
  </si>
  <si>
    <t xml:space="preserve">Neviem, len tak tu sedí. Nikoho tu nepoznám.</t>
  </si>
  <si>
    <t xml:space="preserve">Je v parku pri fontáne, na lavičke.</t>
  </si>
  <si>
    <t xml:space="preserve">• ★ Kedy sa to začalo? Prišlo to náhle? → Neviem, ráno o šiestej tu už sedel.
• Dýcha normálne, alebo len občas zalapá po dychu? → Nedýcha.
• Stláča mu niekto hrudník? → Nie, je úplne studený.
• Je studený, stuhnutý, má na tele fialové škvrny? → Áno, je studený, stuhnutý a ruky má fialové.
• Lieči sa s niečím dlhodobo? → Neviem, nepoznám ho.
• Koľko má rokov? → Asi šesťdesiat.
• Je tam ešte niekto, kto môže pomôcť? → Je tu ešte jedna pani.
• Poznáte ho? → Nie, nikdy som ho nevidel.</t>
  </si>
  <si>
    <t xml:space="preserve">Úmrtie na verejnosti alebo nejasné – prehliadka a polícia</t>
  </si>
  <si>
    <t xml:space="preserve">Nové podľa tvojej odpovede: úmrtie na verejnosti – prehliadka a polícia. Bez polície −20.</t>
  </si>
  <si>
    <t xml:space="preserve">Nájdený mŕtvy v byte
H2 · pri ňom</t>
  </si>
  <si>
    <t xml:space="preserve">„Prišla som za bratom, leží v kuchyni na zemi a je studený.“</t>
  </si>
  <si>
    <t xml:space="preserve">Nereaguje, je studený ako ľad.</t>
  </si>
  <si>
    <t xml:space="preserve">Nedýcha, je úplne stuhnutý.</t>
  </si>
  <si>
    <t xml:space="preserve">Na tvári a rukách má fialové fľaky.</t>
  </si>
  <si>
    <t xml:space="preserve">Na hlave má ranu a na zemi je zaschnutá krv. Neviem, čo sa stalo.</t>
  </si>
  <si>
    <t xml:space="preserve">Je v kuchyni na zemi, dvere boli odomknuté.</t>
  </si>
  <si>
    <t xml:space="preserve">• ★ Kedy sa to začalo? Prišlo to náhle? → Predvčerom večer mi ešte volal.
• Dýcha normálne, alebo len občas zalapá po dychu? → Nedýcha.
• Stláča mu niekto hrudník? → Nie… je studený ako ľad.
• Je studený, stuhnutý, má na tele fialové škvrny? → Áno, je studený, stuhnutý, má fialové fľaky.
• ★ Lieči sa s niečím dlhodobo? → Nie, bol zdravý, mal štyridsať rokov.
• Koľko má rokov? → Štyridsať.
• Je tam ešte niekto, kto môže pomôcť? → Nie, som tu sama.</t>
  </si>
  <si>
    <t xml:space="preserve">Nové podľa tvojej odpovede: rana a nejasné okolnosti (podozrenie na cudzie zavinenie) – prehliadka a polícia, ničoho sa nedotýkať.</t>
  </si>
  <si>
    <t xml:space="preserve">Porucha vedomia</t>
  </si>
  <si>
    <t xml:space="preserve">Bezvedomie
H2 · pri ňom</t>
  </si>
  <si>
    <t xml:space="preserve">„Suseda leží na chodbe a nedá sa prebrať!“</t>
  </si>
  <si>
    <t xml:space="preserve">Nereaguje, ani keď na ňu kričím a zatrasiem ňou.</t>
  </si>
  <si>
    <t xml:space="preserve">Dýcha pravidelne, len trochu chrápe.</t>
  </si>
  <si>
    <t xml:space="preserve">Je bledá.</t>
  </si>
  <si>
    <t xml:space="preserve">Neviem, našla som ju tak.</t>
  </si>
  <si>
    <t xml:space="preserve">Nevidím krv.</t>
  </si>
  <si>
    <t xml:space="preserve">Leží na chodbe pred bytom na treťom poschodí, výťah ide.</t>
  </si>
  <si>
    <t xml:space="preserve">• ★ Kedy sa to začalo? Prišlo to náhle? → Neviem, ráno bola ešte v poriadku.
• ★ Má cukrovku? → Viem, že má cukrovku.
• Máte glukomer? Koľko ukazuje? → Nemám.
• Udrel si hlavu, stratil vedomie? → Neviem, našla som ju tak.
• Aké lieky berie? Vzal si ich dnes? → Neviem presne.
• Koľko má rokov? → Asi sedemdesiat.
• Stalo sa mu to už niekedy? → Neviem o tom.
• Mal pred tým bolesť na hrudi alebo búšenie srdca? → Neviem, ráno nič nehovorila.</t>
  </si>
  <si>
    <t xml:space="preserve">• Otočte ju na bok do stabilizovanej polohy a jemne jej zakloňte hlavu.
• Ostaňte pri nej a sledujte dych – keby prestala dýchať, hneď mi to povedzte.</t>
  </si>
  <si>
    <t xml:space="preserve">• Dajte jej napiť, nech sa preberie. – v bezvedomí nevie prehĺtať a voda jej zatečie do dýchacích ciest.
• Podložte jej hlavu vysokým vankúšom. – hlava ohnutá dopredu zatvorí dýchacie cesty – treba ju zakloniť a otočiť na bok.</t>
  </si>
  <si>
    <t xml:space="preserve">Opravené: odpoveď „dýcha pravidelne, len trochu chrápe“, v strome NZO ostali len lapavé dychy.</t>
  </si>
  <si>
    <t xml:space="preserve">Porucha vedomia
(aj: Diabetes mellitus)</t>
  </si>
  <si>
    <t xml:space="preserve">Diabetik v bezvedomí
H2 · pri ňom</t>
  </si>
  <si>
    <t xml:space="preserve">„Manžel je cukrovkár, nedá sa prebrať a je celý spotený!“</t>
  </si>
  <si>
    <t xml:space="preserve">Nereaguje, ani keď ho štípnem.</t>
  </si>
  <si>
    <t xml:space="preserve">Dýcha.</t>
  </si>
  <si>
    <t xml:space="preserve">Je bledý a úplne mokrý od potu.</t>
  </si>
  <si>
    <t xml:space="preserve">Nie, úraz to nebol.</t>
  </si>
  <si>
    <t xml:space="preserve">Nie, nič nehrozí. Dvere vám otvoríme.</t>
  </si>
  <si>
    <t xml:space="preserve">• Kedy sa to začalo? Prišlo to náhle? → Pred desiatimi minútami som ho takto našla.
• Má cukrovku? → Áno, je cukrovkár, pichá si inzulín.
• ★ Máte glukomer? Koľko ukazuje? → Áno, ukazuje 1,8.
• Udrel si hlavu, stratil vedomie? → Nie, leží na gauči.
• ★ Aké lieky berie? Vzal si ich dnes? → Ráno si pichol a nejedol, nemal chuť.
• Koľko má rokov? → Šesťdesiatpäť.</t>
  </si>
  <si>
    <t xml:space="preserve">• Otočte ho na bok a jemne mu zakloňte hlavu.
• Pripravte jeho glukomer a lieky pre záchranárov.</t>
  </si>
  <si>
    <t xml:space="preserve">• Nalejte mu do úst sladký čaj. – človek v bezvedomí nevie prehĺtať – sladké sa dáva ústami len tomu, kto je pri vedomí.
• Pichnite mu jeho inzulín. – spotený diabetik v bezvedomí má skôr nízky cukor – inzulín ho zníži ešte viac.</t>
  </si>
  <si>
    <t xml:space="preserve">Sedí (porucha vedomia K, nič ústami pri bezvedomí).</t>
  </si>
  <si>
    <t xml:space="preserve">Kolaps seniorky
H2 · pri ňom</t>
  </si>
  <si>
    <t xml:space="preserve">N</t>
  </si>
  <si>
    <t xml:space="preserve">„Mama odpadla pri obede. Prebrala sa, ale je nejaká zmätená.“</t>
  </si>
  <si>
    <t xml:space="preserve">Už otvorila oči, ale nevie, kde je, a stále zaspáva.</t>
  </si>
  <si>
    <t xml:space="preserve">Dýcha normálne.</t>
  </si>
  <si>
    <t xml:space="preserve">Je bledá a studená.</t>
  </si>
  <si>
    <t xml:space="preserve">Trochu sa udrela do hlavy, keď padala.</t>
  </si>
  <si>
    <t xml:space="preserve">Sedí na stoličke v kuchyni, som pri nej.</t>
  </si>
  <si>
    <t xml:space="preserve">• Kedy sa to začalo? Prišlo to náhle? → Pred chvíľou, pri obede.
• Udrel si hlavu, stratil vedomie? → Trochu sa udrela do hlavy, keď padala.
• ★ Aké lieky berie? Vzal si ich dnes? → Áno, Warfarín a niečo na tlak.
• ★ Koľko má rokov? → Osemdesiatdva.
• Mal pred tým bolesť na hrudi alebo búšenie srdca? → Pred tým hovorila, že jej je slabo.</t>
  </si>
  <si>
    <t xml:space="preserve">• Nech zostane sedieť alebo ležať, sama nevstáva.
• Pripravte jej lieky a zdravotnú dokumentáciu.</t>
  </si>
  <si>
    <t xml:space="preserve">• Postavte ju, nech sa prejde. – po kolapse môže znova odpadnúť a pri páde sa zraniť – nech leží alebo sedí.</t>
  </si>
  <si>
    <t xml:space="preserve">Sedí (N). Berie Warfarín a udrela si hlavu – nemala by byť K? Overiť.</t>
  </si>
  <si>
    <t xml:space="preserve">Krátky kolaps
H2 · pri ňom</t>
  </si>
  <si>
    <t xml:space="preserve">M</t>
  </si>
  <si>
    <t xml:space="preserve">„Dcéra v kostole na chvíľu odpadla. Už je v poriadku, len je bledá.“</t>
  </si>
  <si>
    <t xml:space="preserve">Áno, už sa prebrala a rozpráva normálne.</t>
  </si>
  <si>
    <t xml:space="preserve">Je trochu bledá.</t>
  </si>
  <si>
    <t xml:space="preserve">Nie, chytili sme ju.</t>
  </si>
  <si>
    <t xml:space="preserve">Sedí vonku pred kostolom.</t>
  </si>
  <si>
    <t xml:space="preserve">• Kedy sa to začalo? Prišlo to náhle? → Pred pár minútami.
• Udrel si hlavu, stratil vedomie? → Nie, chytili sme ju.
• ★ Koľko má rokov? → Dvadsaťpäť, je zdravá.
• Stalo sa mu to už niekedy? → Raz už odpadla, keď dlho stála.
• Jedla dnes niečo? → Nie, od rána nič.</t>
  </si>
  <si>
    <t xml:space="preserve">• Nech si ľahne a vyloží nohy hore.
• Keď je úplne pri sebe, dajte jej napiť niečo sladké.</t>
  </si>
  <si>
    <t xml:space="preserve">• Nech sa hneď postaví a ide domov. – po odpadnutí treba chvíľu ležať, inak hrozí ďalší pád.</t>
  </si>
  <si>
    <t xml:space="preserve">Opravené: pacientka má 25 rokov (pri 16-ročnej by to bol kolaps u dieťaťa, N).</t>
  </si>
  <si>
    <t xml:space="preserve">Porucha vedomia
(aj: Intoxikácie)</t>
  </si>
  <si>
    <t xml:space="preserve">Ležiaci muž, volajúci odchádza
H2 · pri ňom</t>
  </si>
  <si>
    <t xml:space="preserve">„Pri obchodnom centre leží nejaký chlap… ja už musím ísť, nemám čas.“</t>
  </si>
  <si>
    <t xml:space="preserve">Neviem, asi spí. Nešiel som k nemu.</t>
  </si>
  <si>
    <t xml:space="preserve">To neviem.</t>
  </si>
  <si>
    <t xml:space="preserve">Neviem, nevidel som mu do tváre.</t>
  </si>
  <si>
    <t xml:space="preserve">Nevidel som.</t>
  </si>
  <si>
    <t xml:space="preserve">Ja tam už nie som, nebudem čakať.</t>
  </si>
  <si>
    <t xml:space="preserve">• Kedy sa to začalo? Prišlo to náhle? → Neviem, nešiel som k nemu.
• Má cukrovku? → Neviem, nešiel som k nemu.
• Máte glukomer? Koľko ukazuje? → Neviem, nešiel som k nemu.
• Udrel si hlavu, stratil vedomie? → Neviem, nešiel som k nemu.
• Aké lieky berie? Vzal si ich dnes? → Neviem, nešiel som k nemu.
• Koľko má rokov? → Neviem, nešiel som k nemu.
• Stalo sa mu to už niekedy? → Neviem, nešiel som k nemu.
• Mal pred tým bolesť na hrudi alebo búšenie srdca? → Neviem, nešiel som k nemu.
• Môžete pri ňom počkať, kým niekto príde? → Nie, ponáhľam sa. Zbohom.
• Dýcha? Videli ste, či sa hýbe? → Neviem, nešiel som k nemu.</t>
  </si>
  <si>
    <t xml:space="preserve">Mestská polícia (MsP)</t>
  </si>
  <si>
    <t xml:space="preserve">M s MsP na preverenie; keďže ide o verejný priestor, aj PZ je bez trestu. Zvážiť N? Overiť.</t>
  </si>
  <si>
    <t xml:space="preserve">Porucha vedomia
(aj: Neurológia a kŕče, Kardiologické ťažkosti)</t>
  </si>
  <si>
    <t xml:space="preserve">Mdloba, ktorá prešla
H1 · pacient</t>
  </si>
  <si>
    <t xml:space="preserve">„Dobrý deň, pred chvíľou sa mi zatmelo pred očami a skoro som odpadla. Už je to dobré.“</t>
  </si>
  <si>
    <t xml:space="preserve">Áno, už je mi dobre.</t>
  </si>
  <si>
    <t xml:space="preserve">Dýcham normálne.</t>
  </si>
  <si>
    <t xml:space="preserve">Už nie som bledá, sestra hovorí, že vyzerám normálne.</t>
  </si>
  <si>
    <t xml:space="preserve">Nie, sadla som si.</t>
  </si>
  <si>
    <t xml:space="preserve">Nie, nekrvácam.</t>
  </si>
  <si>
    <t xml:space="preserve">Nie, som doma, otvorím vám.</t>
  </si>
  <si>
    <t xml:space="preserve">• Kedy sa to začalo? Prišlo to náhle? → Pred chvíľou, v obchode.
• Udreli ste si hlavu, odpadli ste? → Nie, sadla som si.
• Koľko máte rokov? → Tridsaťdva.
• ★ Stalo sa vám to už niekedy? → Áno, keď dlho stojím v teple.</t>
  </si>
  <si>
    <t xml:space="preserve">Rada volajúcemu – postup doma
Odporučiť 116117 alebo všeobecného lekára</t>
  </si>
  <si>
    <t xml:space="preserve">Sedí (O). Pri rade vždy poučiť: keď sa to zopakuje, volať znova.</t>
  </si>
  <si>
    <t xml:space="preserve">Ťažkosti s dýchaním
(aj: Náhle zastavenie obehu)</t>
  </si>
  <si>
    <t xml:space="preserve">Dusenie
H2 · pri ňom</t>
  </si>
  <si>
    <t xml:space="preserve">„Dedko sa zadusil mäsom, nevie sa nadýchnuť!“</t>
  </si>
  <si>
    <t xml:space="preserve">Ešte je pri vedomí, drží sa za krk!</t>
  </si>
  <si>
    <t xml:space="preserve">Nevie dýchať ani kašľať, len chrčí!</t>
  </si>
  <si>
    <t xml:space="preserve">Celý modrie!</t>
  </si>
  <si>
    <t xml:space="preserve">• Kedy sa to začalo? Prišlo to náhle? → Teraz, pri obede!
• ★ Vie povedať celú vetu? → Nie, len chrčí a drží sa za krk!
• Bolí ho pri tom na hrudi? → Neviem, nevie hovoriť!
• ★ Mohol niečo vdýchnuť alebo prehltnúť? → Kus mäsa pri obede.</t>
  </si>
  <si>
    <t xml:space="preserve">• Ak vie kašľať, nech silno kašle – nič iné nerobte.
• Ak nevie kašľať, predkloňte ho a 5-krát ho udrite medzi lopatky.
• Keď to nepomôže, 5-krát mu stlačte brucho pod rebrami dnu a hore.
• Keby stratil vedomie, položte ho na zem a začnite stláčať hrudník.</t>
  </si>
  <si>
    <t xml:space="preserve">• Dajte mu napiť vody, nech to spláchne. – tekutina upchatými dýchacími cestami neprejde a upchá ich ešte viac.
• Strčte mu prsty hlboko do krku a vytiahnite to. – vyberanie naslepo zatlačí predmet hlbšie – pomáhajú údery medzi lopatky a stláčanie brucha.</t>
  </si>
  <si>
    <t xml:space="preserve">Doplnené: pokyn „Ak vie kašľať, nech silno kašle“.</t>
  </si>
  <si>
    <t xml:space="preserve">Ťažkosti s dýchaním</t>
  </si>
  <si>
    <t xml:space="preserve">Ťažká dýchavica
H2 · pri ňom</t>
  </si>
  <si>
    <t xml:space="preserve">„Otec sa dusí, nemôže sa nadýchnuť!“</t>
  </si>
  <si>
    <t xml:space="preserve">Je pri vedomí, ale je nejaký ospalý.</t>
  </si>
  <si>
    <t xml:space="preserve">Lapá po dychu, nevie povedať ani slovo, pískanie počuť cez celú izbu.</t>
  </si>
  <si>
    <t xml:space="preserve">Pery aj tvár má modré.</t>
  </si>
  <si>
    <t xml:space="preserve">Sedí pri otvorenom okne, dvere sú odomknuté.</t>
  </si>
  <si>
    <t xml:space="preserve">• ★ Kedy sa to začalo? Prišlo to náhle? → Zhoršuje sa to od rána.
• Vie povedať celú vetu? → Nie, nevie povedať ani slovo.
• ★ Má astmu alebo chronickú chorobu pľúc? → Áno, roky má CHOCHP, je na kyslíku.
• Má inhalátor alebo kyslík? Použil ho? → Má kyslík, ale nepomáha mu.
• Bolí ho pri tom na hrudi? → Neviem, nevie hovoriť.
• Má teplotu? Koľko? → Od včera má trochu teplotu.</t>
  </si>
  <si>
    <t xml:space="preserve">• Nech sedí vzpriamene a opiera sa rukami o kolená alebo stôl.
• Ak má svoj inhalátor alebo kyslík, nech ho použije.
• Otvorte okno a uvoľnite mu oblečenie.</t>
  </si>
  <si>
    <t xml:space="preserve">• Uložte ho do postele na chrbát. – v ľahu sa pri dýchavici dýcha horšie – nech sedí.</t>
  </si>
  <si>
    <t xml:space="preserve">Sedí (cyanóza, nevie hovoriť = K).</t>
  </si>
  <si>
    <t xml:space="preserve">Astmatický záchvat
H2 · pri ňom</t>
  </si>
  <si>
    <t xml:space="preserve">„Syn má astmu a inhalátor mu nezaberá!“</t>
  </si>
  <si>
    <t xml:space="preserve">Áno, je pri vedomí a rozpráva so mnou.</t>
  </si>
  <si>
    <t xml:space="preserve">Ťažko dýcha, píska mu to a povie len pár slov naraz.</t>
  </si>
  <si>
    <t xml:space="preserve">Je bledý, pery má normálne.</t>
  </si>
  <si>
    <t xml:space="preserve">• Kedy sa to začalo? Prišlo to náhle? → Asi pred pol hodinou.
• ★ Vie povedať celú vetu? → Len dve-tri slová.
• Má astmu alebo chronickú chorobu pľúc? → Áno, má astmu od malička.
• ★ Má inhalátor alebo kyslík? Použil ho? → Štyri, nepomáha to.
• Bolí ho pri tom na hrudi? → Nie, len nemôže dýchať.</t>
  </si>
  <si>
    <t xml:space="preserve">• Nech sedí opretý dopredu a dýcha pokojne.
• Nech si zopakuje dávku z inhalátora, ako mu predpísal lekár.</t>
  </si>
  <si>
    <t xml:space="preserve">• Dajte mu teplý čaj s medom. – pri ťažkom záchvate pitie nepomôže a môže sa zakuckať.</t>
  </si>
  <si>
    <t xml:space="preserve">Sedí (N).</t>
  </si>
  <si>
    <t xml:space="preserve">Ťažkosti s dýchaním
(aj: Psychické ťažkosti)</t>
  </si>
  <si>
    <t xml:space="preserve">Hyperventilácia
H2 · pri ňom</t>
  </si>
  <si>
    <t xml:space="preserve">„Kamarátka po hádke strašne rýchlo dýcha a mravčia jej ruky.“</t>
  </si>
  <si>
    <t xml:space="preserve">Je pri vedomí, plače.</t>
  </si>
  <si>
    <t xml:space="preserve">Dýcha strašne rýchlo, ale rozpráva celé vety.</t>
  </si>
  <si>
    <t xml:space="preserve">Normálnu, len je červená v tvári. Mravčí jej okolo úst.</t>
  </si>
  <si>
    <t xml:space="preserve">• Kedy sa to začalo? Prišlo to náhle? → Pred desiatimi minútami, po hádke.
• Vie povedať celú vetu? → Áno, rozpráva celé vety.
• ★ Má astmu alebo chronickú chorobu pľúc? → Nie, je zdravá.
• ★ Bolí ho pri tom na hrudi? → Nie, hovorí, že nie.</t>
  </si>
  <si>
    <t xml:space="preserve">• Hovorte s ňou pokojne a nech dýcha pomaly – nádych nosom, pomalý výdych ústami.
• Nech si sadne a uvoľní sa.</t>
  </si>
  <si>
    <t xml:space="preserve">• Nech dýcha do igelitového vrecka. – dýchanie do vrecka je nebezpečné – môže chýbať kyslík, stačí pokojné pomalé dýchanie.</t>
  </si>
  <si>
    <t xml:space="preserve">Sedí (M). Otázky vylučujú bolesť na hrudi.</t>
  </si>
  <si>
    <t xml:space="preserve">Ťažkosti s dýchaním
(aj: Ochorenia)</t>
  </si>
  <si>
    <t xml:space="preserve">Kašeľ a teplota
H1 · pacient</t>
  </si>
  <si>
    <t xml:space="preserve">„Dobrý deň, už tri dni kašlem a mám teplotu 37,8. Čo mám robiť?“</t>
  </si>
  <si>
    <t xml:space="preserve">Áno, veď sa s vami normálne rozprávam.</t>
  </si>
  <si>
    <t xml:space="preserve">Dýcham normálne, len kašlem.</t>
  </si>
  <si>
    <t xml:space="preserve">Myslím, že normálnu.</t>
  </si>
  <si>
    <t xml:space="preserve">Nie, žiadny úraz.</t>
  </si>
  <si>
    <t xml:space="preserve">• Kedy sa to začalo? Prišlo to náhle? → Už tri dni.
• ★ Máte astmu alebo chronickú chorobu pľúc? → Nie, som zdravá.
• ★ Bolí vás pri tom na hrudi? → Nie, len kašlem.
• Máte teplotu? Koľko? → Áno, 37,8.</t>
  </si>
  <si>
    <t xml:space="preserve">Odporučiť 116117 alebo všeobecného lekára
Rada volajúcemu – postup doma</t>
  </si>
  <si>
    <t xml:space="preserve">Sedí (O, 116117).</t>
  </si>
  <si>
    <t xml:space="preserve">Krvácanie z nosa pri liekoch na riedenie
H2 · pri ňom</t>
  </si>
  <si>
    <t xml:space="preserve">„Babke tečie krv z nosa už hodinu a nedá sa to zastaviť.“</t>
  </si>
  <si>
    <t xml:space="preserve">Je bledšia ako zvyčajne.</t>
  </si>
  <si>
    <t xml:space="preserve">Tečie jej to stále, má už plný uterák. Berie lieky na riedenie krvi.</t>
  </si>
  <si>
    <t xml:space="preserve">• Odkiaľ presne krváca? → Z nosa.
• Koľko krvi asi stratil? → Celý uterák je mokrý.
• Kedy sa to začalo? Prišlo to náhle? → Už hodinu.
• ★ Berie lieky na riedenie krvi? → Warfarín.
• ★ Koľko ukazuje tlakomer? → Áno, 190 na 100.</t>
  </si>
  <si>
    <t xml:space="preserve">• Nech sedí predklonená a stlačí si mäkkú časť nosa na desať minút.
• Dajte jej studený obklad na zátylok.</t>
  </si>
  <si>
    <t xml:space="preserve">• Nech si ľahne a zakloní hlavu. – pri zaklonení steká krv do hrdla a žalúdka – treba sa predkloniť.</t>
  </si>
  <si>
    <t xml:space="preserve">Sedí (N – antikoagulancia, nedá sa zastaviť).</t>
  </si>
  <si>
    <t xml:space="preserve">Zvracanie krvi
H2 · pri ňom</t>
  </si>
  <si>
    <t xml:space="preserve">„Otec zvracia krv, je to tmavé ako kávová usadenina!“</t>
  </si>
  <si>
    <t xml:space="preserve">Je pri vedomí, ale je slabý.</t>
  </si>
  <si>
    <t xml:space="preserve">Dýcha rýchlo.</t>
  </si>
  <si>
    <t xml:space="preserve">Je bledý ako stena, spotený a studený.</t>
  </si>
  <si>
    <t xml:space="preserve">Zvracal asi pol litra, aj stolicu má čiernu.</t>
  </si>
  <si>
    <t xml:space="preserve">Leží v kúpeľni na zemi.</t>
  </si>
  <si>
    <t xml:space="preserve">• Odkiaľ presne krváca? → Zvracia krv, aj stolicu má čiernu.
• Koľko krvi asi stratil? → Asi pol litra.
• Kedy sa to začalo? Prišlo to náhle? → Asi pred hodinou.
• ★ Berie lieky na riedenie krvi? → Berie Anopyrín a na kĺby Ibalgin.
• ★ Mal problémy so žalúdkom alebo vred? → Mal vred pred rokmi.</t>
  </si>
  <si>
    <t xml:space="preserve">• Nech leží na boku, aby sa nezadusil, keby znova zvracal.
• Nedávajte mu nič jesť ani piť.
• Odfoťte zvratky pre záchranárov.</t>
  </si>
  <si>
    <t xml:space="preserve">• Dajte mu vypiť mlieko na žalúdok. – pri krvácaní zo žalúdka nesmie nič piť – môže ísť na endoskopiu alebo operáciu.</t>
  </si>
  <si>
    <t xml:space="preserve">Zastavené krvácanie z nosa
H2 · pri ňom</t>
  </si>
  <si>
    <t xml:space="preserve">„Synovi tiekla krv z nosa, už prestala. Mám s ním niekam ísť?“</t>
  </si>
  <si>
    <t xml:space="preserve">Farbu má normálnu.</t>
  </si>
  <si>
    <t xml:space="preserve">Už nekrváca, tieklo mu to asi päť minút.</t>
  </si>
  <si>
    <t xml:space="preserve">• Odkiaľ presne krváca? → Z nosa.
• Koľko krvi asi stratil? → Trochu, pár kvapiek na vreckovku.
• Kedy sa to začalo? Prišlo to náhle? → Asi pred desiatimi minútami.
• ★ Berie lieky na riedenie krvi? → Nie, je to dieťa, nič neberie.
• Udrel sa do nosa? → Nie, len si ho šúchal.</t>
  </si>
  <si>
    <t xml:space="preserve">Rada volajúcemu – postup doma</t>
  </si>
  <si>
    <t xml:space="preserve">Sedí (O).</t>
  </si>
  <si>
    <t xml:space="preserve">Bolesť</t>
  </si>
  <si>
    <t xml:space="preserve">Bolesť chrbta s únikom moču
H1 · pacient</t>
  </si>
  <si>
    <t xml:space="preserve">„Od včera ma strašne bolí chrbát a mravčia mi nohy.“</t>
  </si>
  <si>
    <t xml:space="preserve">• Kde presne to bolí a kam to vystreľuje? → V krížoch a vystreľuje to do oboch nôh.
• Kedy sa to začalo? Prišlo to náhle? → Od včera, dnes je to horšie.
• ★ Udržíte moč a stolicu? → Neviem… pred chvíľou som sa pomočil a ani som to necítil.
• ★ Cítite normálne dotyk v rozkroku a na nohách? → Nie, je to tam akoby znecitlivené.</t>
  </si>
  <si>
    <t xml:space="preserve">• Ľahnite si v polohe, v ktorej vás to bolí najmenej, a už nevstávajte.
• Pripravte si doklady a zoznam liekov, nech sú pri vás.</t>
  </si>
  <si>
    <t xml:space="preserve">• Skúste sa rozchodiť, nech sa chrbát uvoľní. – pri úniku moču a necitlivosti v rozkroku môže ísť o útlak nervov – chôdza hrozí pádom, nech leží.
• Zoberte si tabletku proti bolesti a uvidíme. – operátor po telefóne lieky neodporúča – o liečbe rozhodne posádka.</t>
  </si>
  <si>
    <t xml:space="preserve">Nové podľa tvojej odpovede: úvodná veta je podobná ako pri M, N až keď doplňujúce otázky odhalia únik moču a necitlivosť v rozkroku.</t>
  </si>
  <si>
    <t xml:space="preserve">Prudká bolesť brucha
H2 · pri ňom</t>
  </si>
  <si>
    <t xml:space="preserve">„Manžel sa zvíja od bolesti brucha, začalo to zrazu!“</t>
  </si>
  <si>
    <t xml:space="preserve">Je pri vedomí, stoná.</t>
  </si>
  <si>
    <t xml:space="preserve">Je bledý a spotený.</t>
  </si>
  <si>
    <t xml:space="preserve">• ★ Kde presne to bolí a kam to vystreľuje? → Vpravo dole a vystreľuje to.
• Kedy sa to začalo? Prišlo to náhle? → Zrazu, asi pred hodinou.
• ★ Zvracia? Má teplotu? → Zvracal dvakrát, teplotu má 38.</t>
  </si>
  <si>
    <t xml:space="preserve">• Nech leží v polohe, v ktorej ho bolí najmenej.
• Nedávajte mu nič jesť ani piť.</t>
  </si>
  <si>
    <t xml:space="preserve">• Dajte mu na brucho termofor. – teplo pri náhlej bolesti brucha môže zhoršiť zápal, napríklad slepého čreva.
• Dajte mu silný liek proti bolesti. – liek môže zakryť príznaky a pacient môže ísť na operáciu – nesmie nič ústami.</t>
  </si>
  <si>
    <t xml:space="preserve">Studená noha
H2 · pri ňom</t>
  </si>
  <si>
    <t xml:space="preserve">„Mame zrazu zbledla noha a strašne ju bolí.“</t>
  </si>
  <si>
    <t xml:space="preserve">Noha je studená, bledá až modrastá. Inak je normálna.</t>
  </si>
  <si>
    <t xml:space="preserve">Nie, nikde sa neudrela.</t>
  </si>
  <si>
    <t xml:space="preserve">• Kde presne to bolí a kam to vystreľuje? → Ľavá noha, od kolena dole.
• ★ Kedy sa to začalo? Prišlo to náhle? → Asi pred hodinou, zrazu.
• Cíti normálne dotyk v rozkroku a na nohách? → Na tej nohe cíti menej.
• ★ Má nepravidelný pulz alebo chorobu srdca? → Má fibriláciu, berie lieky.</t>
  </si>
  <si>
    <t xml:space="preserve">• Nech leží a nohu nechá voľne, nižšie ako srdce.
• Nohu nemasírujte a nezohrievajte.</t>
  </si>
  <si>
    <t xml:space="preserve">• Zabaľte jej nohu do termoforu. – teplo pri upchatej tepne zvyšuje potrebu kyslíka a poškodí tkanivo.</t>
  </si>
  <si>
    <t xml:space="preserve">Sedí (N – akútna ischémia končatiny).</t>
  </si>
  <si>
    <t xml:space="preserve">Bolesť chrbta s mravčením
H1 · pacient</t>
  </si>
  <si>
    <t xml:space="preserve">„Od rána ma strašne bolí chrbát a mravčí mi noha.“</t>
  </si>
  <si>
    <t xml:space="preserve">• Kde presne to bolí a kam to vystreľuje? → Dole v krížoch a vystreľuje to do nohy.
• Kedy sa to začalo? Prišlo to náhle? → Od rána, keď som zdvíhal cement.
• ★ Udržíte moč a stolicu? → Áno, s tým problém nemám.
• ★ Cítite normálne dotyk v rozkroku a na nohách? → Áno, tam cítim normálne.</t>
  </si>
  <si>
    <t xml:space="preserve">Podľa tvojej odpovede: M – doplňujúce otázky varovné príznaky nenašli (moč a stolicu udrží, v rozkroku cíti).</t>
  </si>
  <si>
    <t xml:space="preserve">Obličková kolika
H1 · pacient</t>
  </si>
  <si>
    <t xml:space="preserve">„Mám strašnú bolesť v boku, vystreľuje to do slabín. Už som mal obličkové kamene.“</t>
  </si>
  <si>
    <t xml:space="preserve">• Kde presne to bolí a kam to vystreľuje? → V pravom boku a vystreľuje to do slabín.
• Kedy sa to začalo? Prišlo to náhle? → Asi pred dvoma hodinami.
• ★ Zvraciate? Máte teplotu? → Nie, teplotu nemám.
• ★ Je v moči krv? → Trochu ružový je.
• Liečite sa s niečím dlhodobo? → Mal som obličkové kamene.</t>
  </si>
  <si>
    <t xml:space="preserve">Sedí (M).</t>
  </si>
  <si>
    <t xml:space="preserve">Dlhodobá bolesť chrbta
H1 · pacient</t>
  </si>
  <si>
    <t xml:space="preserve">„Už mesiac ma bolí chrbát a lieky mi nezaberajú. Čo mám robiť?“</t>
  </si>
  <si>
    <t xml:space="preserve">• Kde presne to bolí a kam to vystreľuje? → V krížoch.
• Kedy sa to začalo? Prišlo to náhle? → Už mesiac.
• ★ Liečite sa s niečím dlhodobo? → Áno, kontrolu mám o mesiac.
• Je bolesť horšia ako zvyčajne alebo vám mravčí noha? → Nie, je to stále rovnaké.</t>
  </si>
  <si>
    <t xml:space="preserve">Kardiologické ťažkosti
(aj: Bolesť)</t>
  </si>
  <si>
    <t xml:space="preserve">Bolesť na hrudi
H2 · pri ňom</t>
  </si>
  <si>
    <t xml:space="preserve">„Otca strašne páli na hrudi, ide mu to do ľavej ruky!“
„Manžel sa sťažuje na tlak na hrudi, je celý spotený.“</t>
  </si>
  <si>
    <t xml:space="preserve">Dýcha rýchlo, hovorí, že sa nevie nadýchnuť.</t>
  </si>
  <si>
    <t xml:space="preserve">Je bledý, celý spotený a studený.</t>
  </si>
  <si>
    <t xml:space="preserve">• Kde presne to bolí a kam to vystreľuje? → Na hrudi, ide mu to do ľavej ruky.
• ★ Kedy sa to začalo? Prišlo to náhle? → Asi pol hodiny a neprechádza.
• ★ Lieči sa so srdcom? Mal infarkt alebo stent? → Pred dvoma rokmi mu dávali stent.
• Aké lieky berie? Vzal si ich dnes? → Na tlak a na riedenie krvi.</t>
  </si>
  <si>
    <t xml:space="preserve">• Nech sedí v pohodlnej polohe a vôbec sa nenamáha.
• Pripravte jeho lieky a odomknite dvere pre záchranku.</t>
  </si>
  <si>
    <t xml:space="preserve">• Ak nie je alergický na aspirín, nech jednu tabletu rozhryzie. – operátor po telefóne lieky neodporúča – o liečbe rozhodne posádka.
• Nech sa prejde, možno to rozchodí. – námaha pri infarkte zväčšuje poškodenie srdca – nech sedí v pokoji.
• Odvezte ho radšej sami autom do nemocnice. – srdce môže kedykoľvek zlyhať a v aute mu nikto nepomôže – nech čaká na záchranku.</t>
  </si>
  <si>
    <t xml:space="preserve">Sedí (K). Opravené: aspirín je chybný pokyn – po telefóne sa nepodáva.</t>
  </si>
  <si>
    <t xml:space="preserve">Kolaps na túre · neprístupný terén
H2 · pri ňom</t>
  </si>
  <si>
    <t xml:space="preserve">„Turista [miesto] skolaboval a sťažuje sa na bolesť na hrudi!“</t>
  </si>
  <si>
    <t xml:space="preserve">Už je pri vedomí, ale je mu strašne zle.</t>
  </si>
  <si>
    <t xml:space="preserve">Je sivý a spotený.</t>
  </si>
  <si>
    <t xml:space="preserve">Sme na hrebeni na chodníku, autom sa sem nedá.</t>
  </si>
  <si>
    <t xml:space="preserve">• Kde presne to bolí a kam to vystreľuje? → Na hrudi, páli ho to.
• ★ Kedy sa to začalo? Prišlo to náhle? → Asi dvadsať minút, od stúpania.
• Lieči sa so srdcom? Mal infarkt alebo stent? → Neviem, nepoznám ho dobre.
• Odpadol, stratil vedomie? → Áno, na chvíľu odpadol.
• Ako ďaleko ste od chaty alebo cesty? → Asi hodinu chôdze od chaty.</t>
  </si>
  <si>
    <t xml:space="preserve">neprístupný terén</t>
  </si>
  <si>
    <t xml:space="preserve">• Nech si sadne a nehýbe sa.
• Oblečte ho do suchého a prikryte, nech neprechladne.</t>
  </si>
  <si>
    <t xml:space="preserve">• Ak nie je alergický na aspirín a máte ho, nech jednu tabletu rozhryzie. – operátor po telefóne lieky neodporúča – o liečbe rozhodne posádka.
• Nech pomaly pokračuje k najbližšej chate. – námaha pri bolesti na hrudi môže spôsobiť zástavu srdca – nech čaká na mieste.
• Dajte mu glg slivovice na zahriatie. – alkohol rozšíri cievy, telo rýchlejšie stráca teplo a srdce sa viac zaťaží.</t>
  </si>
  <si>
    <t xml:space="preserve">Sedí (K, terén, vrtuľník). Aspirín je chybný pokyn.</t>
  </si>
  <si>
    <t xml:space="preserve">Kardiologické ťažkosti</t>
  </si>
  <si>
    <t xml:space="preserve">Otec volal, že ho bolí hrudník
H3 · nie je pri ňom (skryté)</t>
  </si>
  <si>
    <t xml:space="preserve">„Otca strašne bolí na hrudi a je mu zle, pošlite niekoho!“</t>
  </si>
  <si>
    <t xml:space="preserve">Áno, rozprával so mnou.</t>
  </si>
  <si>
    <t xml:space="preserve">Hovoril, že sa mu ťažko dýcha.</t>
  </si>
  <si>
    <t xml:space="preserve">Neviem… asi je bledý.</t>
  </si>
  <si>
    <t xml:space="preserve">Nie.</t>
  </si>
  <si>
    <t xml:space="preserve">Je doma, dvere má odomknuté.</t>
  </si>
  <si>
    <t xml:space="preserve">• Ste pri pacientovi? → Nie… nie som pri ňom. Volal mi pred chvíľou, ja som v práci.
• Máte číslo na niekoho pri ňom? → Áno, má mobil pri sebe.
• Čo vie volajúci:
• ★ Kde presne to bolí a kam to vystreľuje? → Na hrudi, myslím.
• ★ Kedy sa to začalo? Prišlo to náhle? → Volal mi pred desiatimi minútami.
• ★ Lieči sa so srdcom? Mal infarkt alebo stent? → Nie, so srdcom sa neliečil.
• ★ Koľko má rokov? → Šesťdesiatjeden.
• Po zavolaní späť: „Haló… páli ma na hrudi, som celý spotený…“
• Kde presne to bolí a kam to vystreľuje? → Na hrudi, ide mi to do ľavej ruky a do sánky.
• Kedy sa to začalo? Prišlo to náhle? → Asi pred štyridsiatimi minútami.
• Lieči sa so srdcom? Mal infarkt alebo stent? → Nie, so srdcom som sa neliečil.
• Aké lieky berie? Vzal si ich dnes? → Len na tlak.
• Má aj iné ťažkosti – poruchu reči, slabú ruku, zle vidí? → Nie.
• Odpadol, stratil vedomie? → Nie.
• Koľko má rokov? → Šesťdesiatjeden.</t>
  </si>
  <si>
    <t xml:space="preserve">• Sadnite si alebo si polosadnite a nenamáhajte sa.
• Ak to zvládnete, odomknite dvere a znova si sadnite.
• Pripravte si zoznam liekov.</t>
  </si>
  <si>
    <t xml:space="preserve">• Prejdite sa po byte, nech sa to rozchodí. – pri bolesti na hrudi treba pokoj – námaha zvyšuje nárok srdca na kyslík.</t>
  </si>
  <si>
    <t xml:space="preserve">Nové (skryté H3): z pamäti volajúcej to vyzerá na N, pacient po zavolaní späť má K.</t>
  </si>
  <si>
    <t xml:space="preserve">Výboje defibrilátora
H2 · pri ňom</t>
  </si>
  <si>
    <t xml:space="preserve">„Otec má v hrudi defibrilátor a už trikrát ho to strašne kopla!“</t>
  </si>
  <si>
    <t xml:space="preserve">Je zmätený, nevie, čo sa deje.</t>
  </si>
  <si>
    <t xml:space="preserve">• Kde presne to bolí a kam to vystreľuje? → Bolí ho celý hrudník od tých rán.
• Kedy sa to začalo? Prišlo to náhle? → Pred desiatimi minútami.
• Lieči sa so srdcom? Mal infarkt alebo stent? → Áno, má defibrilátor pre zlé srdce.
• Aké lieky berie? Vzal si ich dnes? → Berie lieky na srdce.
• ★ Odpadol, stratil vedomie? → Na chvíľu áno, pri prvom výboji.
• Koľkokrát ho to kopla? → Trikrát za desať minút.</t>
  </si>
  <si>
    <t xml:space="preserve">• Nech leží alebo sedí v pokoji.
• Pripravte jeho preukaz od defibrilátora a lieky.</t>
  </si>
  <si>
    <t xml:space="preserve">• Nech sa prejde, možno to prestane. – námaha môže spustiť ďalšiu poruchu rytmu.</t>
  </si>
  <si>
    <t xml:space="preserve">Sedí (K).</t>
  </si>
  <si>
    <t xml:space="preserve">Búšenie srdca
H1 · pacient</t>
  </si>
  <si>
    <t xml:space="preserve">„Srdce mi strašne rýchlo búši, tlakomer ukazuje pulz 180.“</t>
  </si>
  <si>
    <t xml:space="preserve">Trochu sa zadýchavam.</t>
  </si>
  <si>
    <t xml:space="preserve">Asi som trochu bledý.</t>
  </si>
  <si>
    <t xml:space="preserve">• Kde presne to bolí a kam to vystreľuje? → Nebolí ma, len to búši.
• Kedy sa to začalo? Prišlo to náhle? → Asi pred hodinou, zrazu.
• Koľko ukazuje tlakomer? → Ukazuje 130 na 80.
• Koľko máte pulz? Bije srdce pravidelne? → Tlakomer ukazuje 180.
• ★ Liečite sa so srdcom? Mali ste infarkt alebo stent? → Áno, raz, v nemocnici to zastavili liekom.
• ★ Odpadli ste? → Nie, len búši a som zadýchaný.</t>
  </si>
  <si>
    <t xml:space="preserve">• Sadnite si alebo si ľahnite a pokojne dýchajte.
• Pripravte si lieky a odomknite dvere.</t>
  </si>
  <si>
    <t xml:space="preserve">• Vypite si kávu, to pomôže. – kofeín srdce ešte zrýchli.</t>
  </si>
  <si>
    <t xml:space="preserve">Sedí (N – pulz 180 bez kolapsu).</t>
  </si>
  <si>
    <t xml:space="preserve">Mama nedvíha telefón
H3 · nie je pri ňom</t>
  </si>
  <si>
    <t xml:space="preserve">„Mama mi ráno volala, že ju tlačí na hrudi, a teraz mi nedvíha telefón. Býva sama a ja som v Bratislave.“</t>
  </si>
  <si>
    <t xml:space="preserve">Neviem, nie som pri nej – nedvíha telefón.</t>
  </si>
  <si>
    <t xml:space="preserve">To neviem, nie som tam.</t>
  </si>
  <si>
    <t xml:space="preserve">Neviem, nevidím ju.</t>
  </si>
  <si>
    <t xml:space="preserve">Býva sama na druhom poschodí, dvere má zamknuté.</t>
  </si>
  <si>
    <t xml:space="preserve">• Ste pri pacientovi? → Nie, som v práci v Bratislave.
• Máte číslo na niekoho pri ňom? → Má len mobil a ten nedvíha. Susedov nepoznám.
• Čo vie volajúci:
• ★ Kedy sa to začalo? Prišlo to náhle? → Ráno o siedmej mi volala, že ju tlačí na hrudi.
• ★ Lieči sa so srdcom? Mal infarkt alebo stent? → Áno, mala infarkt pred piatimi rokmi.
• ★ Aké lieky berie? Vzal si ich dnes? → Berie lieky na srdce.
• ★ Koľko má rokov? → Sedemdesiatšesť.
• Kontakt nedvíha alebo nie je.</t>
  </si>
  <si>
    <t xml:space="preserve">Hasiči (HaZZ)</t>
  </si>
  <si>
    <t xml:space="preserve">Nové (H3): volajúci nie je pri pacientke, kontakt nie je – N, hasiči na otvorenie bytu.</t>
  </si>
  <si>
    <t xml:space="preserve">Tlak na hrudi
H2 · pri ňom</t>
  </si>
  <si>
    <t xml:space="preserve">„Manžel má od rána tlak na hrudi, teraz je to horšie.“</t>
  </si>
  <si>
    <t xml:space="preserve">• Kde presne to bolí a kam to vystreľuje? → Uprostred hrudníka, tlačí ho to.
• ★ Kedy sa to začalo? Prišlo to náhle? → Asi pred dvoma hodinami.
• ★ Lieči sa so srdcom? Mal infarkt alebo stent? → Pred dvoma rokmi mu dávali stent.
• Aké lieky berie? Vzal si ich dnes? → Berie lieky po stente.</t>
  </si>
  <si>
    <t xml:space="preserve">Sedí (N, časové okno). Aspirín je chybný pokyn.</t>
  </si>
  <si>
    <t xml:space="preserve">Nepravidelný pulz
H1 · pacient</t>
  </si>
  <si>
    <t xml:space="preserve">„Od rána mi srdce bije nepravidelne a som strašne unavený.“</t>
  </si>
  <si>
    <t xml:space="preserve">• ★ Kde presne to bolí a kam to vystreľuje? → Nie, len som unavený.
• Kedy sa to začalo? Prišlo to náhle? → Od rána.
• Koľko máte pulz? Bije srdce pravidelne? → Neviem presne, ale bije nepravidelne.
• Liečite sa so srdcom? Mali ste infarkt alebo stent? → Mám vysoký tlak.
• ★ Aké lieky beriete? Vzali ste si ich dnes? → Áno, na tlak.</t>
  </si>
  <si>
    <t xml:space="preserve">Vysoký tlak
H1 · pacient</t>
  </si>
  <si>
    <t xml:space="preserve">„Namerala som si tlak 180 na 100 a trochu ma bolí hlava.“</t>
  </si>
  <si>
    <t xml:space="preserve">Áno, som v poriadku, len ma bolí hlava.</t>
  </si>
  <si>
    <t xml:space="preserve">Som trochu červená v tvári.</t>
  </si>
  <si>
    <t xml:space="preserve">• Kde presne to bolí a kam to vystreľuje? → Len hlava ma trochu bolí.
• Kedy sa to začalo? Prišlo to náhle? → Asi hodinu.
• Koľko ukazuje tlakomer? → 180 na 100.
• ★ Aké lieky beriete? Vzali ste si ich dnes? → Áno, ale dnes som ich zabudla.
• ★ Máte aj iné ťažkosti – poruchu reči, slabú ruku, zle vidíte? → Nie, len ma trochu bolí hlava.</t>
  </si>
  <si>
    <t xml:space="preserve">Nové: tlak 180/100 s miernou bolesťou hlavy – M podľa stromu kardio.</t>
  </si>
  <si>
    <t xml:space="preserve">Zabudnutá tabletka na tlak
H1 · pacient</t>
  </si>
  <si>
    <t xml:space="preserve">„Zabudla som si ráno vziať tabletku na tlak. Mám si ju vziať teraz? Inak mi nič nie je.“</t>
  </si>
  <si>
    <t xml:space="preserve">Áno, je mi dobre.</t>
  </si>
  <si>
    <t xml:space="preserve">• Kde presne to bolí a kam to vystreľuje? → Nič ma nebolí.
• Kedy sa to začalo? Prišlo to náhle? → Ráno som ju zabudla vziať.
• ★ Koľko ukazuje tlakomer? → 140 na 85.
• Aké lieky beriete? Vzali ste si ich dnes? → Tabletku na tlak, ráno som ju zabudla.</t>
  </si>
  <si>
    <t xml:space="preserve">Nové namiesto „Vysoký tlak bez ťažkostí“: konzultácia liečby, tlak 140/85 – O.</t>
  </si>
  <si>
    <t xml:space="preserve">Neurológia a kŕče
(aj: Porucha vedomia)</t>
  </si>
  <si>
    <t xml:space="preserve">Kŕče, ktoré neprestávajú
H2 · pri ňom</t>
  </si>
  <si>
    <t xml:space="preserve">„Syn kŕčuje už desať minút a neprestáva!“</t>
  </si>
  <si>
    <t xml:space="preserve">Nereaguje, stále sa trasie.</t>
  </si>
  <si>
    <t xml:space="preserve">Dýcha nepravidelne, má penu pri ústach.</t>
  </si>
  <si>
    <t xml:space="preserve">Okolo úst je modrastý.</t>
  </si>
  <si>
    <t xml:space="preserve">Keď padal, narazil si hlavu o stôl.</t>
  </si>
  <si>
    <t xml:space="preserve">Trochu z jazyka.</t>
  </si>
  <si>
    <t xml:space="preserve">Leží na zemi v izbe.</t>
  </si>
  <si>
    <t xml:space="preserve">• Kedy sa to začalo? Prišlo to náhle? → Pred desiatimi minútami.
• ★ Je epileptik? Berie lieky? → Áno, ale lieky mu došli pred týždňom.
• ★ Ako dlho kŕče trvajú? Prebral sa medzi nimi? → Nie, toto je už druhý a medzi nimi sa neprebral.
• Poranil sa pri tom? → Narazil si hlavu o stôl.
• Koľko má rokov? → Dvadsať.</t>
  </si>
  <si>
    <t xml:space="preserve">• Odtiahnite od neho nábytok a predmety, o ktoré sa môže udrieť.
• Nič mu nevkladajte do úst a nedržte ho nasilu.
• Keď sa prestane triasť, otočte ho na bok.
• Pozrite sa na hodinky a merajte, ako dlho záchvat trvá.</t>
  </si>
  <si>
    <t xml:space="preserve">• Vložte mu do úst lyžicu, nech si neodhryzne jazyk. – do úst sa pri kŕčoch nič nevkladá – hrozí poranenie a vdýchnutie.
• Pevne ho držte, nech sa netrasie. – násilné držanie kŕče nezastaví a hrozí poranenie.</t>
  </si>
  <si>
    <t xml:space="preserve">Sedí (K). Doplnené: pokyn „merajte, ako dlho záchvat trvá“.</t>
  </si>
  <si>
    <t xml:space="preserve">Neurológia a kŕče</t>
  </si>
  <si>
    <t xml:space="preserve">Horúčkové kŕče
H2 · pri ňom</t>
  </si>
  <si>
    <t xml:space="preserve">„Dcérka má horúčku a zrazu sa začala triasť a prevracať oči!“</t>
  </si>
  <si>
    <t xml:space="preserve">Nereaguje, trasie sa.</t>
  </si>
  <si>
    <t xml:space="preserve">Dýcha, ale rýchlo.</t>
  </si>
  <si>
    <t xml:space="preserve">Je celá horúca, okolo úst trochu modrá.</t>
  </si>
  <si>
    <t xml:space="preserve">• Kedy sa to začalo? Prišlo to náhle? → Pred chvíľou.
• Je epileptik? Berie lieky? → Nie, prvýkrát.
• ★ Ako dlho kŕče trvajú? Prebral sa medzi nimi? → Asi dve minúty.
• Má teplotu? Koľko? → Áno, 39,5.
• ★ Koľko má rokov? → Dva roky.</t>
  </si>
  <si>
    <t xml:space="preserve">• Položte ju na bok na mäkké, ďaleko od hrán.
• Vyzlečte ju do ľahkého a neprikrývajte ju.</t>
  </si>
  <si>
    <t xml:space="preserve">• Dajte ju do studenej vane. – studený kúpeľ je pre telo šok – stačí ľahké oblečenie.</t>
  </si>
  <si>
    <t xml:space="preserve">Kamarátka napísala, že nevie hovoriť
H3 · nie je pri ňom (skryté)</t>
  </si>
  <si>
    <t xml:space="preserve">„Kamarátka mi napísala, že jej je zle a nevie poriadne hovoriť. Pošlite k nej niekoho!“</t>
  </si>
  <si>
    <t xml:space="preserve">Asi áno, písala mi.</t>
  </si>
  <si>
    <t xml:space="preserve">Neviem… myslím, že áno.</t>
  </si>
  <si>
    <t xml:space="preserve">Nie, nepísala nič také.</t>
  </si>
  <si>
    <t xml:space="preserve">Býva sama na prvom poschodí, dvere má asi zamknuté.</t>
  </si>
  <si>
    <t xml:space="preserve">• Ste pri pacientovi? → Nie, som v práci. Len mi napísala správu.
• Máte číslo na niekoho pri ňom? → Mám jej číslo, ale nedvíha mi.
• Čo vie volajúci:
• ★ Kedy sa to začalo? Prišlo to náhle? → Správu mi poslala pred pätnástimi minútami.
• ★ Ovisol mu kútik, má slabú ruku alebo poruchu reči? → Písala, že nevie hovoriť a ruka ju nepočúva.
• ★ Koľko má rokov? → Päťdesiattri.
• Kontakt nedvíha alebo nie je.</t>
  </si>
  <si>
    <t xml:space="preserve">iktové centrum</t>
  </si>
  <si>
    <t xml:space="preserve">Nové (skryté H3): FAST zo správy, kontakt nedvíha – N, hasiči na otvorenie.</t>
  </si>
  <si>
    <t xml:space="preserve">Mozgová príhoda
H2 · pri ňom</t>
  </si>
  <si>
    <t xml:space="preserve">„Mame zrazu ovisol kútik úst a nevie poriadne hovoriť!“
„Manželka nevie zdvihnúť pravú ruku a motá sa jej reč.“</t>
  </si>
  <si>
    <t xml:space="preserve">Je pri vedomí, ale rozpráva nezrozumiteľne.</t>
  </si>
  <si>
    <t xml:space="preserve">• ★ Kedy sa to začalo? Prišlo to náhle? → Pred dvadsiatimi minútami, pri obede bola ešte v poriadku.
• Ovisol mu kútik, má slabú ruku alebo poruchu reči? → Áno, ovisol jej kútik a nevie poriadne hovoriť.
• ★ Berie lieky na riedenie krvi? → Áno, berie Warfarin.
• Koľko má rokov? → Sedemdesiatštyri.</t>
  </si>
  <si>
    <t xml:space="preserve">• Zapamätajte si, kedy presne sa to začalo.
• Nedávajte jej nič jesť ani piť.
• Nech leží s hlavou trochu podloženou a nehýbe sa.</t>
  </si>
  <si>
    <t xml:space="preserve">• Dajte jej aspirín, rozriedi krv. – pri porážke nesmie dostať nič ústami, a ak krváca do mozgu, aspirín to zhorší.
• Nechajte ju vyspať, ráno to bude lepšie. – pri mozgovej príhode rozhoduje čas – liečba musí začať čo najskôr.</t>
  </si>
  <si>
    <t xml:space="preserve">Sedí (N podľa stromu). Otázka na čas začiatku je, BE-FAST čiastočne.</t>
  </si>
  <si>
    <t xml:space="preserve">Závrat
H1 · pacient</t>
  </si>
  <si>
    <t xml:space="preserve">„Od rána sa mi točí hlava, je mi zle a zvraciam.“</t>
  </si>
  <si>
    <t xml:space="preserve">• ★ Kedy sa to začalo? Prišlo to náhle? → Ráno po prebudení.
• ★ Ovisol vám kútik, máte slabú ruku alebo poruchu reči? → Nie, to nie.
• Koľko máte rokov? → Päťdesiatosem.</t>
  </si>
  <si>
    <t xml:space="preserve">Sedí (M). Otázka na poruchu reči a slabosť končatín je.</t>
  </si>
  <si>
    <t xml:space="preserve">Epileptik po záchvate
H2 · pri ňom</t>
  </si>
  <si>
    <t xml:space="preserve">„Brat je epileptik, mal záchvat, ale už sa preberá. Som pri ňom.“</t>
  </si>
  <si>
    <t xml:space="preserve">Už otvára oči, je ešte trochu mimo, ale reaguje.</t>
  </si>
  <si>
    <t xml:space="preserve">Nie, ležal na posteli.</t>
  </si>
  <si>
    <t xml:space="preserve">• Kedy sa to začalo? Prišlo to náhle? → Pred piatimi minútami.
• ★ Je epileptik? Berie lieky? → Áno, má ich tak raz za mesiac.
• Ako dlho kŕče trvajú? Prebral sa medzi nimi? → Asi dve minúty, už sa preberá.
• ★ Poranil sa pri tom? → Nie, nič nevidím.</t>
  </si>
  <si>
    <t xml:space="preserve">Psychické ťažkosti
(aj: Intoxikácie)</t>
  </si>
  <si>
    <t xml:space="preserve">Agresívny pacient
H2 · pri ňom</t>
  </si>
  <si>
    <t xml:space="preserve">„Brat je pod vplyvom, rozbíja byt a vyhráža sa nožom!“</t>
  </si>
  <si>
    <t xml:space="preserve">Je pri vedomí, kričí a nadáva.</t>
  </si>
  <si>
    <t xml:space="preserve">Má v ruke nôž a kričí, že zabije každého, kto príde! Zamkla som sa v kúpeľni.</t>
  </si>
  <si>
    <t xml:space="preserve">• Hovorí, že by si chcel ublížiť? → Vyhráža sa nám, nie sebe.
• ★ Pil alkohol, bral lieky alebo drogy? → Asi pervitín, už dva dni nespal.
• Má pri sebe zbraň alebo nôž? Ohrozuje niekoho? → Áno, má nôž a vyhráža sa!
• ★ Je tam ešte niekto, kto môže pomôcť? → Nie, som tu sama.</t>
  </si>
  <si>
    <t xml:space="preserve">• Ostaňte zamknutá v bezpečí a nechoďte k nemu.
• Keď príde polícia, povedzte im, kde je a čo má v ruke.</t>
  </si>
  <si>
    <t xml:space="preserve">• Choďte ho upokojiť, vás počúvne. – agresívny človek s nožom ohrozuje aj blízkych – bezpečnosť má prednosť, rieši to polícia.</t>
  </si>
  <si>
    <t xml:space="preserve">Sedí (N, PZ).</t>
  </si>
  <si>
    <t xml:space="preserve">Psychické ťažkosti</t>
  </si>
  <si>
    <t xml:space="preserve">Hrozí skokom
H2 · pri ňom</t>
  </si>
  <si>
    <t xml:space="preserve">„Syn stojí na balkóne na ôsmom poschodí a hovorí, že skočí!“</t>
  </si>
  <si>
    <t xml:space="preserve">Je pri vedomí, kričí na nás.</t>
  </si>
  <si>
    <t xml:space="preserve">Zatiaľ nie.</t>
  </si>
  <si>
    <t xml:space="preserve">Zamkol sa na balkóne a hovorí, že keď niekto príde, skočí.</t>
  </si>
  <si>
    <t xml:space="preserve">• Hovorí, že by si chcel ublížiť? → Áno, kričí, že skočí!
• ★ Pil alkohol, bral lieky alebo drogy? → Vypil fľašu vodky.
• Je tam ešte niekto, kto môže pomôcť? → Sme tu s manželom.
• Lieči sa u psychiatra? → Nie, nikde sa neliečil.
• ★ Stalo sa mu to už niekedy? → Áno, od rozchodu je stále smutný.</t>
  </si>
  <si>
    <t xml:space="preserve">Polícia (PZ), Hasiči (HaZZ)</t>
  </si>
  <si>
    <t xml:space="preserve">• Hovorte s ním pokojne, nekričte a nehádajte sa.
• Nechoďte k nemu nasilu, počkajte na pomoc.</t>
  </si>
  <si>
    <t xml:space="preserve">• Povedzte mu, nech nerobí scény, a choďte ho stiahnuť. – nátlak a náhly pohyb môžu človeka v kríze vyprovokovať – rozhovor a čakanie na pomoc sú bezpečnejšie.</t>
  </si>
  <si>
    <t xml:space="preserve">Sedí (N, PZ a HaZZ).</t>
  </si>
  <si>
    <t xml:space="preserve">Akútna reakcia na stres
H2 · pri ňom</t>
  </si>
  <si>
    <t xml:space="preserve">„Mama je po smrti otca úplne mimo, plače a trasie sa.“</t>
  </si>
  <si>
    <t xml:space="preserve">Je pri vedomí, ale len plače a nič nehovorí.</t>
  </si>
  <si>
    <t xml:space="preserve">Dýcha rýchlejšie, ale normálne.</t>
  </si>
  <si>
    <t xml:space="preserve">• ★ Hovorí, že by si chcel ublížiť? → Nie, to nie, len plače.
• ★ Je tam ešte niekto, kto môže pomôcť? → Áno, som tu ja a sestra.
• Lieči sa u psychiatra? → Nie.</t>
  </si>
  <si>
    <t xml:space="preserve">Úzkosť
H1 · pacient</t>
  </si>
  <si>
    <t xml:space="preserve">„Nemôžem spať, mám úzkosti a nemám sa s kým porozprávať.“</t>
  </si>
  <si>
    <t xml:space="preserve">Som doma. Nič si nechcem urobiť, len potrebujem s niekým hovoriť.</t>
  </si>
  <si>
    <t xml:space="preserve">• ★ Myslíte na to, že by ste si ublížili? → Nie, to nie. Len som strašne smutný.
• ★ Je pri vás niekto? → Sestru, ale býva ďaleko.
• Liečite sa u psychiatra? → Kedysi som chodil k psychológovi.
• Stalo sa vám to už niekedy? → Áno, občas mám také obdobia.</t>
  </si>
  <si>
    <t xml:space="preserve">Odporučiť linku psychologickej pomoci</t>
  </si>
  <si>
    <t xml:space="preserve">Sedí (O, linka psychologickej pomoci). Otázka na samovražedné myšlienky je.</t>
  </si>
  <si>
    <t xml:space="preserve">Alergická reakcia</t>
  </si>
  <si>
    <t xml:space="preserve">Anafylaxia
H2 · pri ňom</t>
  </si>
  <si>
    <t xml:space="preserve">„Dcéru štípla osa, opuchá jej tvár a ťažko dýcha!“</t>
  </si>
  <si>
    <t xml:space="preserve">Je pri vedomí, ale je jej zle.</t>
  </si>
  <si>
    <t xml:space="preserve">Ťažko dýcha, piští jej to pri nádychu.</t>
  </si>
  <si>
    <t xml:space="preserve">Je bledá a celá vyrážková.</t>
  </si>
  <si>
    <t xml:space="preserve">Nie, štípla ju osa.</t>
  </si>
  <si>
    <t xml:space="preserve">• Na čo reagoval a kedy? → Štípla ju osa, asi pred desiatimi minútami.
• Opuchá mu tvár, jazyk alebo hrdlo? → Áno, opuchá jej tvár a pery!
• ★ Vie povedať celú vetu? → Len pár slov, lapá po dychu.
• ★ Je alergik? Má adrenalínové pero? → Je alergická na osy, pero má v taške!</t>
  </si>
  <si>
    <t xml:space="preserve">• Ak má adrenalínové pero, pichnite ho do vonkajšej strany stehna.
• Nech sedí, keď sa jej ťažko dýcha. Ak omdlieva, nech si ľahne s nohami hore.
• Ak prestane dýchať, hneď mi to povedzte, začneme oživovať.</t>
  </si>
  <si>
    <t xml:space="preserve">• Nech sa poprechádza na čerstvom vzduchu. – pri anafylaxii môže postavenie a chôdza spôsobiť náhly kolaps – nech sedí alebo leží.
• Dajte jej vypiť mlieko, to zmierni opuch. – opuchnuté hrdlo nezvládne prehĺtanie a mlieko pri alergii nepomáha.</t>
  </si>
  <si>
    <t xml:space="preserve">Sedí (N). Autoinjektor do vonkajšej strany stehna – podľa skriptu.</t>
  </si>
  <si>
    <t xml:space="preserve">Žihľavka po lieku
H1 · pacient</t>
  </si>
  <si>
    <t xml:space="preserve">„Po antibiotiku mám vyrážky po celom tele a strašne ma to svrbí.“</t>
  </si>
  <si>
    <t xml:space="preserve">Dýcham normálne, len mám taký pocit, že je to ťažšie.</t>
  </si>
  <si>
    <t xml:space="preserve">Mám červené fľaky po celom tele.</t>
  </si>
  <si>
    <t xml:space="preserve">• ★ Na čo ste reagovali a kedy? → Pred hodinou.
• ★ Opuchá vám tvár, jazyk alebo hrdlo? → Nie, len svrbí koža.
• Aké lieky beriete? Vzali ste si ich dnes? → Antibiotikum, prvá tabletka.</t>
  </si>
  <si>
    <t xml:space="preserve">Štípnutie včelou
H2 · pri ňom</t>
  </si>
  <si>
    <t xml:space="preserve">„Syna štípla včela do ruky, má ju opuchnutú. Čo mám robiť?“</t>
  </si>
  <si>
    <t xml:space="preserve">Dýcha normálne, rozpráva.</t>
  </si>
  <si>
    <t xml:space="preserve">Normálnu, len ruka je červená.</t>
  </si>
  <si>
    <t xml:space="preserve">Len to štípnutie.</t>
  </si>
  <si>
    <t xml:space="preserve">• Na čo reagoval a kedy? → Štípla ho včela do ruky, pred chvíľou.
• Opuchá mu tvár, jazyk alebo hrdlo? → Len ruka je opuchnutá.
• Vie povedať celú vetu? → Áno, rozpráva normálne.
• ★ Je alergik? Má adrenalínové pero? → Nie, nie je.
• Kam ho štípla? → Do ruky, nie do úst ani do krku.</t>
  </si>
  <si>
    <t xml:space="preserve">Diabetes mellitus
(aj: Porucha vedomia)</t>
  </si>
  <si>
    <t xml:space="preserve">Zmätený diabetik
H2 · pri ňom</t>
  </si>
  <si>
    <t xml:space="preserve">„Manžel je cukrovkár, je nejaký zmätený a nechce jesť.“</t>
  </si>
  <si>
    <t xml:space="preserve">Je pri vedomí, ale nevie, kde je, a rozpráva od veci.</t>
  </si>
  <si>
    <t xml:space="preserve">Je spotený a bledý.</t>
  </si>
  <si>
    <t xml:space="preserve">• ★ Máte glukomer? Koľko ukazuje? → 2,4.
• Pichal si inzulín alebo vzal lieky? Jedol? → Ráno si pichol, ale skoro nič nejedol.
• ★ Vie prehĺtať? Napije sa? → Áno, pije, keď mu dám.
• Je smädný, zvracia, je zmätený? → Je zmätený, ale nezvracia.
• Je tam ešte niekto, kto môže pomôcť? → Áno, som pri ňom.</t>
  </si>
  <si>
    <t xml:space="preserve">• Ak vie prehĺtať, dajte mu sladký nápoj alebo cukor.
• Zmerajte mu cukor, ak máte glukomer.</t>
  </si>
  <si>
    <t xml:space="preserve">• Pichnite mu inzulín. – zmätený a spotený diabetik má skôr nízky cukor – inzulín ho zníži ešte viac.</t>
  </si>
  <si>
    <t xml:space="preserve">Sedí (N). Sladké len ak vie prehĺtať – je.</t>
  </si>
  <si>
    <t xml:space="preserve">Diabetes mellitus</t>
  </si>
  <si>
    <t xml:space="preserve">Nízky cukor
H1 · pacient</t>
  </si>
  <si>
    <t xml:space="preserve">„Mám cukrovku, nameral som si cukor 3,1 a trasú sa mi ruky.“</t>
  </si>
  <si>
    <t xml:space="preserve">Áno, som v poriadku, len sa trasiem.</t>
  </si>
  <si>
    <t xml:space="preserve">Som spotený.</t>
  </si>
  <si>
    <t xml:space="preserve">• Máte glukomer? Koľko ukazuje? → 3,1.
• Pichli ste si inzulín alebo vzali lieky? Jedli ste? → Pichol som si a nestihol sa najesť.
• ★ Viete prehĺtať? Napijete sa? → Áno, mám tu kofolu.
• Je pri vás niekto? → Áno, je tu manželka.
• Ste sám doma? → Nie, je tu manželka.</t>
  </si>
  <si>
    <t xml:space="preserve">• Zjedzte niečo sladké alebo vypite sladký nápoj.
• O pätnásť minút si cukor zmerajte znova.</t>
  </si>
  <si>
    <t xml:space="preserve">• Pichnite si inzulín, nech sa to vyrovná. – pri nízkom cukre inzulín cukor ešte zníži – môže prísť bezvedomie.</t>
  </si>
  <si>
    <t xml:space="preserve">Vysoký cukor bez ťažkostí
H1 · pacient</t>
  </si>
  <si>
    <t xml:space="preserve">„Glukomer mi ukazuje cukor 16, ale je mi dobre. Čo mám robiť?“</t>
  </si>
  <si>
    <t xml:space="preserve">• Máte glukomer? Koľko ukazuje? → Ukazuje 16.
• ★ Pichli ste si inzulín alebo vzali lieky? Jedli ste? → Zabudol som si pichnúť.
• ★ Ste smädný, zvraciate, ste zmätený? → Nie, je mi dobre.
• Je pri vás niekto? → Som doma s manželkou.</t>
  </si>
  <si>
    <t xml:space="preserve">Dopravná nehoda</t>
  </si>
  <si>
    <t xml:space="preserve">Hromadná nehoda · 3 pacienti
H2 · pri ňom</t>
  </si>
  <si>
    <t xml:space="preserve">„Autobus sa zrazil s osobným autom [miesto], je tu veľa zranených!“</t>
  </si>
  <si>
    <t xml:space="preserve">Niektorí kričia, jeden chlap pri aute nereaguje.</t>
  </si>
  <si>
    <t xml:space="preserve">Neviem, nemôžem ku všetkým…</t>
  </si>
  <si>
    <t xml:space="preserve">Viacerí sú bledí.</t>
  </si>
  <si>
    <t xml:space="preserve">Autobus narazil do auta a zišiel do priekopy.</t>
  </si>
  <si>
    <t xml:space="preserve">Viacerí krvácajú.</t>
  </si>
  <si>
    <t xml:space="preserve">V aute sú dvaja zakliesnení, z autobusu sa parí.</t>
  </si>
  <si>
    <t xml:space="preserve">• Koľko je zranených? → Veľa, v autobuse je asi tridsať ľudí!
• ★ Je niekto zakliesnený v aute? → V osobnom aute sú dvaja a nevedia vyliezť.
• ★ Horí niečo alebo vyteká z auta? → Nie, nehorí, len sa z autobusu parí.
• Ako sa to stalo, akou rýchlosťou? → Autobus narazil do auta a zišiel do priekopy.
• Hýbe rukami aj nohami, cíti ich? → Neviem, nemôžem ku všetkým.
• Kde presne je – v aute, na ceste, mimo cesty? → Autobus je v priekope, auto na ceste.
• Ostal vodič na mieste? → Áno, šofér autobusu je tu.</t>
  </si>
  <si>
    <t xml:space="preserve">Hasiči (HaZZ), Polícia (PZ)</t>
  </si>
  <si>
    <t xml:space="preserve">traumacentrum</t>
  </si>
  <si>
    <t xml:space="preserve">• Zapnite výstražné svetlá a zastavte autá za nehodou.
• Ľudí, ktorí môžu chodiť, odveďte mimo cestu za zvodidlá.
• Krvácajúce rany stlačte čistou látkou.</t>
  </si>
  <si>
    <t xml:space="preserve">• Všetkých zranených povyťahujte z áut a uložte vedľa cesty. – vyťahovanie bez dôvodu môže zhoršiť poranenie chrbtice – von iba pri požiari alebo inom priamom nebezpečenstve.
• Choďte doprostred cesty a mávajte na autá. – na ceste ohrozujete seba aj ostatných – zostaňte za zvodidlami a použite výstražné svetlá a trojuholník.</t>
  </si>
  <si>
    <t xml:space="preserve">Sedí (K). Na obrazovke OS je samostatné tlačidlo UHPO – zvážiť osobitný postup.</t>
  </si>
  <si>
    <t xml:space="preserve">Dopravná nehoda
(aj: Úrazy)</t>
  </si>
  <si>
    <t xml:space="preserve">Zrazený chodec
H2 · pri ňom</t>
  </si>
  <si>
    <t xml:space="preserve">„Auto zrazilo chodkyňu na priechode, leží na ceste!“</t>
  </si>
  <si>
    <t xml:space="preserve">Neodpovedá, len tak stoná.</t>
  </si>
  <si>
    <t xml:space="preserve">Dýcha rýchlo a nahlas.</t>
  </si>
  <si>
    <t xml:space="preserve">Auto ju zrazilo asi päťdesiatkou, odletela niekoľko metrov.</t>
  </si>
  <si>
    <t xml:space="preserve">Krváca z hlavy.</t>
  </si>
  <si>
    <t xml:space="preserve">Leží v jazdnom pruhu, autá ju obchádzajú.</t>
  </si>
  <si>
    <t xml:space="preserve">• Koľko je zranených? → Jedna, tá pani.
• Ako sa to stalo, akou rýchlosťou? → Asi päťdesiatkou, odletela niekoľko metrov.
• Hýbe rukami aj nohami, cíti ich? → Neviem, len stoná.
• ★ Kde presne je – v aute, na ceste, mimo cesty? → V jazdnom pruhu, autá ju obchádzajú.
• ★ Ostal vodič na mieste? → Áno, stojí pri nej celý bledý.</t>
  </si>
  <si>
    <t xml:space="preserve">• Nehýbte s ňou a prikryte ju, nech neprechladne.
• Zabezpečte miesto výstražnými svetlami, nech do nej nikto nenarazí.</t>
  </si>
  <si>
    <t xml:space="preserve">• Zdvihnite ju a posaďte na lavičku. – po zrazení autom môže mať poranenú chrbticu alebo vnútorné krvácanie – nehýbte s ňou.
• Dajte jej napiť a niečo proti bolesti. – zranená nesmie nič piť ani brať lieky – môže ísť na operáciu.</t>
  </si>
  <si>
    <t xml:space="preserve">Sedí (K, PZ).</t>
  </si>
  <si>
    <t xml:space="preserve">Nehoda motorkára
H2 · pri ňom</t>
  </si>
  <si>
    <t xml:space="preserve">„Motorkár vyletel zo zákruty [miesto]!“</t>
  </si>
  <si>
    <t xml:space="preserve">Je pri vedomí, má prilbu, hovorí, že ho bolí noha.</t>
  </si>
  <si>
    <t xml:space="preserve">Je bledý.</t>
  </si>
  <si>
    <t xml:space="preserve">Išiel rýchlo, vyletel zo zákruty a narazil do zvodidiel.</t>
  </si>
  <si>
    <t xml:space="preserve">Nohu má od krvi, nohavice sú roztrhané.</t>
  </si>
  <si>
    <t xml:space="preserve">Leží za zvodidlami pri ceste.</t>
  </si>
  <si>
    <t xml:space="preserve">• Koľko je zranených? → Len motorkár.
• ★ Ako sa to stalo, akou rýchlosťou? → Rýchlo, aspoň osemdesiatkou.
• ★ Hýbe rukami aj nohami, cíti ich? → Rukami áno, ľavou nohou nie.
• Kde presne je – v aute, na ceste, mimo cesty? → Leží za zvodidlami pri ceste.
• Ostal vodič na mieste? → Bol sám.</t>
  </si>
  <si>
    <t xml:space="preserve">ťažký úraz a rýchly prevoz do traumacentra</t>
  </si>
  <si>
    <t xml:space="preserve">• Prilbu mu nedávajte dole, ak dýcha a je pri vedomí.
• Zabezpečte miesto výstražnými svetlami.
• Krvácajúcu ranu stlačte čistou látkou.</t>
  </si>
  <si>
    <t xml:space="preserve">• Posaďte ho a dajte mu napiť. – po náraze môže mať poranenú chrbticu aj vnútorné krvácanie – nehýbať a nič nepiť.</t>
  </si>
  <si>
    <t xml:space="preserve">Sedí (N, PZ). Vrtuľník je v hre označený ako indikovaný (ťažký úraz) – overiť.</t>
  </si>
  <si>
    <t xml:space="preserve">Zakliesnený vodič
H2 · pri ňom</t>
  </si>
  <si>
    <t xml:space="preserve">„Osobné auto narazilo do stromu [miesto], vodič je zakliesnený!“</t>
  </si>
  <si>
    <t xml:space="preserve">Narazil do stromu, auto je celé pokrčené a nevie z neho vyliezť.</t>
  </si>
  <si>
    <t xml:space="preserve">Krváca z nohy, ale nie veľa.</t>
  </si>
  <si>
    <t xml:space="preserve">Auto je v priekope, dvere sa nedajú otvoriť. Z motora sa trochu dymí.</t>
  </si>
  <si>
    <t xml:space="preserve">• Koľko je zranených? → Jeden, vodič.
• Je niekto zakliesnený v aute? → Áno, vodič je zakliesnený!
• Horí niečo alebo vyteká z auta? → Z motora sa trochu dymí.
• Ako sa to stalo, akou rýchlosťou? → Narazil do stromu, auto je celé pokrčené.
• Hýbe rukami aj nohami, cíti ich? → Rukami hýbe, nohu má zaseknutú.
• ★ Kde presne je – v aute, na ceste, mimo cesty? → Na kolesách, prednou časťou v strome.
• Ostal vodič na mieste? → Je to on, iné auto tu nie je.
• Je vodič pri vedomí a dýcha? → Je pri vedomí, stoná a krváca z nohy.</t>
  </si>
  <si>
    <t xml:space="preserve">• Zapnite výstražné svetlá a postavte trojuholník.
• S vodičom nehýbte, iba sa s ním rozprávajte a upokojujte ho.
• Krvácajúcu ranu stlačte čistou látkou.</t>
  </si>
  <si>
    <t xml:space="preserve">• Vytiahnite ho z auta, kým nepríde pomoc. – zakliesneného vodiča môže vyťahovanie ochrnúť – vyslobodia ho hasiči so zdravotníkmi, von len pri požiari.
• Dajte mu napiť, nech sa upokojí. – ťažko zranený pôjde možno na operáciu – nesmie piť.</t>
  </si>
  <si>
    <t xml:space="preserve">Sedí (N, HaZZ a PZ).</t>
  </si>
  <si>
    <t xml:space="preserve">Ťukanec s bolesťou krku
H2 · pri ňom</t>
  </si>
  <si>
    <t xml:space="preserve">„Ťukli sme do seba [miesto], vodičku z druhého auta bolí krk.“</t>
  </si>
  <si>
    <t xml:space="preserve">Narazila do nás zozadu, nie veľmi rýchlo. Drží sa za krk.</t>
  </si>
  <si>
    <t xml:space="preserve">• ★ Koľko je zranených? → Nie, len ona.
• Ako sa to stalo, akou rýchlosťou? → Nie veľmi rýchlo, zozadu.
• Hýbe rukami aj nohami, cíti ich? → Áno, hýbe, len ju bolí krk.
• Kde presne je – v aute, na ceste, mimo cesty? → Sedí v aute na kraji cesty.
• Ostal vodič na mieste? → Áno, sme tu všetci.
• Mravčia jej ruky? → Nie, len ju bolí krk.</t>
  </si>
  <si>
    <t xml:space="preserve">• Nech zostane sedieť v aute a nehýbe hlavou.
• Zapnite výstražné svetlá a postavte trojuholník.</t>
  </si>
  <si>
    <t xml:space="preserve">• Nech si krk rozhýbe, to prejde. – pri bolesti krku po náraze môže byť poranená chrbtica – nehýbať.</t>
  </si>
  <si>
    <t xml:space="preserve">Sedí (M, PZ – polícia ide k dopravným nehodám).</t>
  </si>
  <si>
    <t xml:space="preserve">Dopravná nehoda
(aj: Nepatrí na 155)</t>
  </si>
  <si>
    <t xml:space="preserve">Nehoda bez zranených
H2 · pri ňom</t>
  </si>
  <si>
    <t xml:space="preserve">„Ťukli sme do seba [miesto], nikto nie je zranený. Komu to mám nahlásiť?“</t>
  </si>
  <si>
    <t xml:space="preserve">Všetci sú v poriadku.</t>
  </si>
  <si>
    <t xml:space="preserve">Áno, všetci sú v pohode.</t>
  </si>
  <si>
    <t xml:space="preserve">Nikomu nič nie je.</t>
  </si>
  <si>
    <t xml:space="preserve">Len plechy, nikto sa nezranil.</t>
  </si>
  <si>
    <t xml:space="preserve">Autá stoja na kraji cesty.</t>
  </si>
  <si>
    <t xml:space="preserve">• Koľko je zranených? → Nikto.
• Ako sa to stalo, akou rýchlosťou? → Pomaly, v kolóne.
• Hýbe rukami aj nohami, cíti ich? → Všetci sú v poriadku.
• Ostal vodič na mieste? → Áno, sme tu obaja.
• Sú autá pojazdné? → Áno, len majú rozbité svetlá.</t>
  </si>
  <si>
    <t xml:space="preserve">Odovzdať na KS IZS 112 (polícia, hasiči)</t>
  </si>
  <si>
    <t xml:space="preserve">Sedí (O – odovzdať na 112).</t>
  </si>
  <si>
    <t xml:space="preserve">Úrazy</t>
  </si>
  <si>
    <t xml:space="preserve">Bodnutie
H2 · pri ňom</t>
  </si>
  <si>
    <t xml:space="preserve">„Pred barom niekto bodol muža nožom do brucha!“</t>
  </si>
  <si>
    <t xml:space="preserve">Je pri vedomí, ale je mimo.</t>
  </si>
  <si>
    <t xml:space="preserve">Bodli ho do brucha, útočník utiekol.</t>
  </si>
  <si>
    <t xml:space="preserve">Krváca z brucha, celé tričko má od krvi.</t>
  </si>
  <si>
    <t xml:space="preserve">Leží na chodníku pred barom. Útočník ušiel smerom k stanici.</t>
  </si>
  <si>
    <t xml:space="preserve">• Ako sa to stalo – z akej výšky spadol, čím sa zranil? → Niekto ho bodol nožom.
• ★ Kde presne je zranený? → V bruchu, vľavo.
• Berie lieky na riedenie krvi? → Neviem, nepoznám ho.
• Koľko má rokov? → Mladý, okolo dvadsaťpäť.
• Je tam ešte niekto, kto môže pomôcť? → Je tu viac ľudí.
• Kam útočník utiekol a ako vyzerá? → Smerom k stanici, čierna bunda s kapucňou.</t>
  </si>
  <si>
    <t xml:space="preserve">• Silno zatlačte na ranu čistou látkou a nepúšťajte.
• Ak má nôž v rane, nevyťahujte ho.
• Nech leží a nehýbe sa.</t>
  </si>
  <si>
    <t xml:space="preserve">• Bežte za útočníkom a zadržte ho. – prenasledovať ozbrojeného útočníka je nebezpečné – zapamätajte si, kam utiekol, zvyšok urobí polícia.
• Dajte mu napiť alkoholu na bolesť. – alkohol zhoršuje krvácanie a zranený nesmie piť – môže ísť na operáciu.</t>
  </si>
  <si>
    <t xml:space="preserve">Pád z lešenia
H2 · pri ňom</t>
  </si>
  <si>
    <t xml:space="preserve">„Robotník spadol z lešenia z tretieho poschodia a nehýbe sa!“</t>
  </si>
  <si>
    <t xml:space="preserve">Stoná, ale neodpovedá.</t>
  </si>
  <si>
    <t xml:space="preserve">Dýcha rýchlo a plytko.</t>
  </si>
  <si>
    <t xml:space="preserve">Spadol z lešenia, z výšky tak desať metrov.</t>
  </si>
  <si>
    <t xml:space="preserve">Leží na stavenisku, brána je otvorená.</t>
  </si>
  <si>
    <t xml:space="preserve">• ★ Ako sa to stalo – z akej výšky spadol, čím sa zranil? → Z tretieho poschodia, aspoň osem metrov.
• Udrel si hlavu, stratil vedomie? → Krváca z hlavy a neodpovedá.
• ★ Hýbe rukami aj nohami, cíti ich? → Je pri vedomí, ale nohami nehýbe.
• Kde presne je zranený? → Hlava a asi chrbát.
• Koľko má rokov? → Okolo štyridsať.
• Je tam ešte niekto, kto môže pomôcť? → Sme tu traja z partie.</t>
  </si>
  <si>
    <t xml:space="preserve">• Nehýbte s ním, ak mu nehrozí ďalšie nebezpečenstvo.
• Ak silno krváca, zatlačte na ranu čistou látkou.
• Sledujte, či dýcha, a keby prestal, hneď mi to povedzte.</t>
  </si>
  <si>
    <t xml:space="preserve">• Skúste ho posadiť a dať mu napiť. – po páde z výšky môže mať poranenú chrbticu a pohyb ho môže ochrnúť.
• Preneste ho do tieňa alebo dnu. – zraneného po páde sa presúva iba vtedy, keď mu hrozí bezprostredné nebezpečenstvo.</t>
  </si>
  <si>
    <t xml:space="preserve">Sedí (K). Vrtuľník označený ako indikovaný – overiť.</t>
  </si>
  <si>
    <t xml:space="preserve">Rana motorovou pílou
H2 · pri ňom</t>
  </si>
  <si>
    <t xml:space="preserve">„Manžel sa sekol motorovou pílou do stehna a strieka mu krv!“</t>
  </si>
  <si>
    <t xml:space="preserve">Je pri vedomí, ale je bledý a mdlie.</t>
  </si>
  <si>
    <t xml:space="preserve">Je bledý ako stena a studený.</t>
  </si>
  <si>
    <t xml:space="preserve">Píla mu skĺzla do stehna.</t>
  </si>
  <si>
    <t xml:space="preserve">Strieka mu to z nohy, je tu kaluž krvi!</t>
  </si>
  <si>
    <t xml:space="preserve">Sme na dvore za domom.</t>
  </si>
  <si>
    <t xml:space="preserve">• Ako sa to stalo – z akej výšky spadol, čím sa zranil? → Píla mu skĺzla do stehna.
• Kde presne je zranený? → Stehno.
• Koľko má rokov? → Päťdesiat.
• ★ Je tam ešte niekto, kto môže pomôcť? → Áno, sused.
• Koľko krvi stratil? → Je tu veľká kaluž, aspoň liter.</t>
  </si>
  <si>
    <t xml:space="preserve">• Silno tlačte na ranu čistou látkou celou váhou a nepúšťajte.
• Ak to nepomáha, zaškrťte nohu nad ranou opaskom a zapamätajte si čas.
• Nech leží a prikryte ho.</t>
  </si>
  <si>
    <t xml:space="preserve">• Dajte mu vypiť pohár vody, stratil veľa tekutín. – ťažko zranený pôjde na operáciu – nesmie piť.
• Ranu vypláchnite pod tečúcou vodou. – vyplachovanie zdrží zastavenie krvácania – tlak na ranu je najdôležitejší.</t>
  </si>
  <si>
    <t xml:space="preserve">Sedí (K). Tlak na ranu a turniket nad ranu – podľa skriptu.</t>
  </si>
  <si>
    <t xml:space="preserve">Skok do plytkej vody
H2 · pri ňom</t>
  </si>
  <si>
    <t xml:space="preserve">„Kamarát skočil do vody hlavou napred a necíti nohy!“</t>
  </si>
  <si>
    <t xml:space="preserve">Dýcha, ale plytko.</t>
  </si>
  <si>
    <t xml:space="preserve">Skočil šípku do plytkej vody pri móle, vytiahli sme ho na breh.</t>
  </si>
  <si>
    <t xml:space="preserve">Má odreté čelo.</t>
  </si>
  <si>
    <t xml:space="preserve">Leží na pláži, nehýbeme s ním.</t>
  </si>
  <si>
    <t xml:space="preserve">• Ako sa to stalo – z akej výšky spadol, čím sa zranil? → Skočil šípku do plytkej vody.
• Udrel si hlavu, stratil vedomie? → Udrel sa hlavou o dno, má odreté čelo.
• ★ Hýbe rukami aj nohami, cíti ich? → Rukami trochu hýbe, nohami vôbec.
• Kde presne je zranený? → Krk a hlava.
• Koľko má rokov? → Dvadsať.
• Je tam ešte niekto, kto môže pomôcť? → Je nás tu viac.
• Ako dlho bol vo vode? → Hneď sme ho vytiahli.</t>
  </si>
  <si>
    <t xml:space="preserve">podozrenie na poranenie chrbtice – šetrný a rýchly prevoz na neurochirurgiu</t>
  </si>
  <si>
    <t xml:space="preserve">neurochirurgia</t>
  </si>
  <si>
    <t xml:space="preserve">• Nehýbte s ním, držte mu hlavu rovno v osi s telom.
• Prikryte ho, nech neprechladne.</t>
  </si>
  <si>
    <t xml:space="preserve">• Posaďte ho, nech sa nadýchne. – pri poranení krčnej chrbtice môže pohyb natrvalo poškodiť miechu.</t>
  </si>
  <si>
    <t xml:space="preserve">Sedí (N, vrtuľník na neurochirurgiu – podľa tvojho príkladu).</t>
  </si>
  <si>
    <t xml:space="preserve">Pád seniorky
H2 · pri ňom</t>
  </si>
  <si>
    <t xml:space="preserve">„Babka spadla v obývačke, nevie vstať a bolí ju bok.“</t>
  </si>
  <si>
    <t xml:space="preserve">Pošmykla sa na koberci a spadla na bok. Noha je nejaká kratšia a vytočená.</t>
  </si>
  <si>
    <t xml:space="preserve">• Ako sa to stalo – z akej výšky spadol, čím sa zranil? → Pošmykla sa na koberci.
• ★ Udrel si hlavu, stratil vedomie? → Je pri vedomí, rozpráva, len je trochu zmätená.
• Hýbe rukami aj nohami, cíti ich? → Rukami áno, pravú nohu nedokáže zdvihnúť.
• Kde presne je zranený? → Bok a noha.
• ★ Berie lieky na riedenie krvi? → Na tlak a na riedenie krvi.
• Koľko má rokov? → Osemdesiatjeden.</t>
  </si>
  <si>
    <t xml:space="preserve">• Nech zostane ležať alebo sedieť, nezdvíhajte ju nasilu.
• Prikryte ju dekou, nech neprechladne.</t>
  </si>
  <si>
    <t xml:space="preserve">• Postavte ju na nohy, nech to rozchodí. – po páde môže mať zlomený krčok – na nohu sa nesmie postaviť.
• Dajte jej niečo zo svojich liekov na tlak alebo na bolesť. – cudzie lieky môžu spôsobiť pád tlaku alebo sa pobiť s jeho liekmi.</t>
  </si>
  <si>
    <t xml:space="preserve">Sused počul pád
H3 · nie je pri ňom</t>
  </si>
  <si>
    <t xml:space="preserve">„Za stenou som počula veľký buchot a sused teraz volá o pomoc. Dvere má zamknuté.“</t>
  </si>
  <si>
    <t xml:space="preserve">Asi áno, volá o pomoc.</t>
  </si>
  <si>
    <t xml:space="preserve">Neviem, nevidím ho.</t>
  </si>
  <si>
    <t xml:space="preserve">Asi spadol, počula som buchot.</t>
  </si>
  <si>
    <t xml:space="preserve">Býva vedľa mňa na treťom poschodí, dvere má zamknuté.</t>
  </si>
  <si>
    <t xml:space="preserve">• Ste pri pacientovi? → Nie, som u seba v byte, počujem ho cez stenu.
• Máte číslo na niekoho pri ňom? → Áno, mám jeho číslo, dám vám ho.
• Čo vie volajúci:
• ★ Koľko má rokov? → Asi osemdesiat.
• ★ Je tam ešte niekto, kto môže pomôcť? → Je sám, nikoho nemá.
• Po zavolaní späť: „Haló… spadol som v kúpeľni a neviem vstať.“
• Ako sa to stalo – z akej výšky spadol, čím sa zranil? → Pošmykol som sa vo vani.
• Udrel si hlavu, stratil vedomie? → Nie, hlavu som si neudrel.
• Hýbe rukami aj nohami, cíti ich? → Rukami áno, pravú nohu nemôžem zdvihnúť.
• Kde presne je zranený? → Pravé bedro.
• Berie lieky na riedenie krvi? → Áno, beriem Warfarín.
• Koľko má rokov? → Osemdesiat.
• Je tam ešte niekto, kto môže pomôcť? → Nie, som sám.</t>
  </si>
  <si>
    <t xml:space="preserve">• Ostaňte ležať a nehýbte nohou, pomoc je na ceste.
• Prikryte sa uterákom alebo čímkoľvek, nech vám nie je zima.</t>
  </si>
  <si>
    <t xml:space="preserve">• Skúste sa postaviť a dôjsť k dverám. – pri podozrení na zlomeninu bedra sa nemá postavovať – hrozí ďalší pád.</t>
  </si>
  <si>
    <t xml:space="preserve">Nové (H3): po zavolaní susedovi (H1) zistíš pád seniora s Warfarínom – M, hasiči na otvorenie.</t>
  </si>
  <si>
    <t xml:space="preserve">Zlomená ruka
H2 · pri ňom</t>
  </si>
  <si>
    <t xml:space="preserve">„Syn spadol z bicykla a ruku má celú krivú.“</t>
  </si>
  <si>
    <t xml:space="preserve">Spadol z bicykla na ruku. Je opuchnutá a krivá.</t>
  </si>
  <si>
    <t xml:space="preserve">Nie, len je odretý.</t>
  </si>
  <si>
    <t xml:space="preserve">• Ako sa to stalo – z akej výšky spadol, čím sa zranil? → Spadol z bicykla na ruku.
• ★ Udrel si hlavu, stratil vedomie? → Prilbu mal, hlavu si neudrel.
• Hýbe rukami aj nohami, cíti ich? → Prstami hýbe, rukou nechce.
• Kde presne je zranený? → Ľavá ruka, je krivá.
• ★ Koľko má rokov? → Desať.</t>
  </si>
  <si>
    <t xml:space="preserve">• Ruku nechajte v polohe, v akej je, a podložte ju.
• Prikladajte cez látku studený obklad.</t>
  </si>
  <si>
    <t xml:space="preserve">• Skúste mu ruku narovnať. – narovnávanie zlomeniny poškodí cievy a nervy.</t>
  </si>
  <si>
    <t xml:space="preserve">Zranený turista · neprístupný terén
H2 · pri ňom</t>
  </si>
  <si>
    <t xml:space="preserve">„Kamarát sa pošmykol [miesto] a nemôže stúpiť na nohu.“</t>
  </si>
  <si>
    <t xml:space="preserve">Pošmykol sa na kameňoch, noha je čudne vytočená.</t>
  </si>
  <si>
    <t xml:space="preserve">Sme na chodníku v lese, autom sa sem nedá. Do doliny je to asi hodinu.</t>
  </si>
  <si>
    <t xml:space="preserve">• Ako sa to stalo – z akej výšky spadol, čím sa zranil? → Pošmykol sa na kameňoch.
• ★ Hýbe rukami aj nohami, cíti ich? → Nemôže, noha je čudne vytočená, nekrváca.
• Kde presne je zranený? → Pravý členok.
• Koľko má rokov? → Tridsať.
• Je tam ešte niekto, kto môže pomôcť? → Sme tu dvaja.
• Máte teplé oblečenie a svetlo? → Bundy máme, svetlo len v mobile.</t>
  </si>
  <si>
    <t xml:space="preserve">• Nohu nechajte tak, ako je, a podložte ju.
• Izolujte ho od zeme a oblečte do suchého.</t>
  </si>
  <si>
    <t xml:space="preserve">• Nech skúsi zísť dole aspoň k chate. – chôdza na zlomenej nohe poškodí cievy a nervy a hrozí ďalší pád.
• Skúste mu nohu narovnať. – narovnávanie zlomeniny je veľmi bolestivé a môže poškodiť cievy – nechajte to záchranárom.</t>
  </si>
  <si>
    <t xml:space="preserve">Sedí (M, HZS).</t>
  </si>
  <si>
    <t xml:space="preserve">Úrazy
(aj: Ochorenia)</t>
  </si>
  <si>
    <t xml:space="preserve">Ťažký pacient na zemi
H2 · pri ňom</t>
  </si>
  <si>
    <t xml:space="preserve">„Otec spadol z postele a nevieme ho zdvihnúť. Váži skoro dvesto kíl.“</t>
  </si>
  <si>
    <t xml:space="preserve">Skĺzol z postele na zem, bolí ho rameno.</t>
  </si>
  <si>
    <t xml:space="preserve">Leží medzi posteľou a skriňou. Je veľmi ťažký, my dvaja ho nezdvihneme. Bývame na štvrtom poschodí bez výťahu.</t>
  </si>
  <si>
    <t xml:space="preserve">• Ako sa to stalo – z akej výšky spadol, čím sa zranil? → Skĺzol z postele.
• ★ Udrel si hlavu, stratil vedomie? → Hlavu nie, rozpráva normálne.
• Kde presne je zranený? → Bolí ho rameno.
• Koľko má rokov? → Šesťdesiattri.
• ★ Je tam ešte niekto, kto môže pomôcť? → Ja a mama, obe sme staršie.</t>
  </si>
  <si>
    <t xml:space="preserve">• Nechajte ho ležať, podložte mu hlavu a prikryte ho.
• Neskúšajte ho dvíhať sami.</t>
  </si>
  <si>
    <t xml:space="preserve">• Zdvihnite ho aspoň do sedu. – ťažkého pacienta treba zdvíhať s technikou a viacerými ľuďmi – inak sa zraní on aj pomáhajúci.</t>
  </si>
  <si>
    <t xml:space="preserve">Sedí (M, HaZZ – podľa tvojho príkladu).</t>
  </si>
  <si>
    <t xml:space="preserve">Odreté koleno
H2 · pri ňom</t>
  </si>
  <si>
    <t xml:space="preserve">„Dcéra spadla z kolobežky a má odreté koleno. Treba s ňou niekam ísť?“</t>
  </si>
  <si>
    <t xml:space="preserve">Spadla z kolobežky, odrela si koleno. Chodí normálne.</t>
  </si>
  <si>
    <t xml:space="preserve">Trochu, už to skoro prestalo.</t>
  </si>
  <si>
    <t xml:space="preserve">• Ako sa to stalo – z akej výšky spadol, čím sa zranil? → Spadla z kolobežky.
• ★ Hýbe rukami aj nohami, cíti ich? → Áno, behá.
• Kde presne je zranený? → Koleno.
• Koľko má rokov? → Sedem.
• Je rana hlboká alebo špinavá? → Len odreté.</t>
  </si>
  <si>
    <t xml:space="preserve">Intoxikácie</t>
  </si>
  <si>
    <t xml:space="preserve">Opitá maloletá
H2 · pri ňom</t>
  </si>
  <si>
    <t xml:space="preserve">„Na zastávke leží asi štrnásťročné dievča, je úplne opitá.“</t>
  </si>
  <si>
    <t xml:space="preserve">Keď ňou zatrasiem, niečo zamrmle, ale oči neotvorí.</t>
  </si>
  <si>
    <t xml:space="preserve">Leží na lavičke na zastávke, sú tu s ňou dve kamarátky.</t>
  </si>
  <si>
    <t xml:space="preserve">• Čo presne a koľko užil? → Vodku.
• ★ Kedy sa to začalo? Prišlo to náhle? → Asi hodinu.
• Máte obal alebo zvyšky toho, čo užil? → Fľaša je tu.
• Koľko má rokov a koľko váži? → Asi štrnásť.
• Urobil to úmyselne? → Nie, oslavovali.
• Je tam viac ľudí, ktorým je zle? → Nie, len ona.
• ★ Pil alkohol, bral lieky alebo drogy? → Kamarátky hovoria, že len vodku.</t>
  </si>
  <si>
    <t xml:space="preserve">• Otočte ju na bok a jemne jej zakloňte hlavu.
• Prikryte ju, nech neprechladne.</t>
  </si>
  <si>
    <t xml:space="preserve">• Dajte jej vypiť veľa vody. – človek, ktorý sa ťažko preberá, nevie prehĺtať – hrozí vdýchnutie.</t>
  </si>
  <si>
    <t xml:space="preserve">Otrava CO
H2 · pri ňom</t>
  </si>
  <si>
    <t xml:space="preserve">„Celej rodine je zle a bolí nás hlava. V kúpeľni máme plynový kotol.“</t>
  </si>
  <si>
    <t xml:space="preserve">Všetci sme pri vedomí, len dcéra je nejaká spavá.</t>
  </si>
  <si>
    <t xml:space="preserve">Sme takí červenší v tvári.</t>
  </si>
  <si>
    <t xml:space="preserve">Stále sme v byte, kotol beží.</t>
  </si>
  <si>
    <t xml:space="preserve">• Čo presne a koľko užil? → Asi plyn z kotla.
• Kedy sa to začalo? Prišlo to náhle? → Asi hodinu nám je zle.
• Máte obal alebo zvyšky toho, čo užil? → Nič také nemáme.
• Koľko má rokov a koľko váži? → Sme štyria, aj deti.
• Urobil to úmyselne? → Nie, nikto nič neurobil, je nám zle z kotla.
• ★ Je tam viac ľudí, ktorým je zle? → Štyria, všetci pri vedomí, dcéra zvracia.
• Ste už vonku z domu? → Ešte nie, sme v obývačke.</t>
  </si>
  <si>
    <t xml:space="preserve">• Všetci hneď von na čerstvý vzduch.
• Cestou von otvorte okná a dvere, ale nezdržujte sa.</t>
  </si>
  <si>
    <t xml:space="preserve">• Ľahnite si a odpočívajte, hlava prejde. – oxid uhoľnatý nevidno ani necítiť – kto ostane dnu, môže stratiť vedomie a zomrieť.
• Ostaňte doma a otvorte len okno v kúpeľni. – pri otrave CO treba všetkých hneď dostať von – jedno okno nestačí.</t>
  </si>
  <si>
    <t xml:space="preserve">Sedí (N, HaZZ). Pokyn „všetci von“ je.</t>
  </si>
  <si>
    <t xml:space="preserve">Intoxikácie
(aj: Psychické ťažkosti)</t>
  </si>
  <si>
    <t xml:space="preserve">Predávkovanie liekmi
H2 · pri ňom</t>
  </si>
  <si>
    <t xml:space="preserve">„Dcéra zjedla celé balenie liekov na spanie!“</t>
  </si>
  <si>
    <t xml:space="preserve">Je spavá. Keď na ňu kričím, otvorí oči.</t>
  </si>
  <si>
    <t xml:space="preserve">Dýcha pomaly.</t>
  </si>
  <si>
    <t xml:space="preserve">• ★ Čo presne a koľko užil? → Celé balenie, tridsať tabletiek na spanie.
• ★ Kedy sa to začalo? Prišlo to náhle? → Asi pred pol hodinou.
• Máte obal alebo zvyšky toho, čo užil? → Áno, prázdne balenie je tu.
• Koľko má rokov a koľko váži? → Sedemnásť, asi päťdesiat kíl.
• Urobil to úmyselne? → Áno… nechala list.
• Pil alkohol, bral lieky alebo drogy? → Neviem, asi nie.</t>
  </si>
  <si>
    <t xml:space="preserve">• Odložte obal od liekov pre záchranárov.
• Ak zaspí, otočte ju na bok a sledujte dych.</t>
  </si>
  <si>
    <t xml:space="preserve">• Vyvolajte jej zvracanie prstom. – spavý človek môže zvratky vdýchnuť – zvracanie sa nevyvoláva.
• Dajte jej silnú kávu, nech nezaspí. – káva neruší účinok liekov a zaťaží srdce.</t>
  </si>
  <si>
    <t xml:space="preserve">Sedí (N). Pri úmyselnom požití myslieť na bezpečnosť – treba PZ? Overiť.</t>
  </si>
  <si>
    <t xml:space="preserve">Dieťa vypilo čistič
H2 · pri ňom</t>
  </si>
  <si>
    <t xml:space="preserve">„Dvojročný syn sa napil čistiaceho prostriedku!“</t>
  </si>
  <si>
    <t xml:space="preserve">Kašle, ale dýcha.</t>
  </si>
  <si>
    <t xml:space="preserve">• Čo presne a koľko užil? → Čistič na podlahu, asi jeden glg.
• ★ Kedy sa to začalo? Prišlo to náhle? → Asi pred pol hodinou.
• ★ Máte obal alebo zvyšky toho, čo užil? → Áno, mám to tu pri sebe.
• Koľko má rokov a koľko váži? → Dva roky, dvanásť kíl.</t>
  </si>
  <si>
    <t xml:space="preserve">• Odložte obal alebo zvyšky, nech ich lekári vidia.
• Ak zvracia, nech je predklonený alebo na boku, aby sa nezadusil.
• Nech zvyšky vypľuje a vypláchne si ústa, ale nič nepije.</t>
  </si>
  <si>
    <t xml:space="preserve">• Vyvolajte zvracanie prstom v krku. – žieravina pri zvracaní poleptá pažerák druhýkrát a zvratky môžu vdýchnuť – zvracanie sa nevyvoláva.
• Dajte mu vypiť mlieko alebo olej, zneutralizuje to. – mlieko ani olej jed nezneutralizujú, iba vyvolajú zvracanie.</t>
  </si>
  <si>
    <t xml:space="preserve">Sedí (M). Nevyvolávať zvracanie – je.</t>
  </si>
  <si>
    <t xml:space="preserve">Intoxikácie
(aj: Úrazy)</t>
  </si>
  <si>
    <t xml:space="preserve">Opitý muž s rozbitou hlavou
H2 · pri ňom</t>
  </si>
  <si>
    <t xml:space="preserve">„Na zastávke leží opitý chlap, má rozbitú hlavu a nadáva ľuďom.“</t>
  </si>
  <si>
    <t xml:space="preserve">Je pri vedomí, nadáva.</t>
  </si>
  <si>
    <t xml:space="preserve">Asi spadol, má rozbité obočie.</t>
  </si>
  <si>
    <t xml:space="preserve">Trochu krváca z obočia.</t>
  </si>
  <si>
    <t xml:space="preserve">Je agresívny, ľudia sa ho boja.</t>
  </si>
  <si>
    <t xml:space="preserve">• Čo presne a koľko užil? → Je opitý.
• Kedy sa to začalo? Prišlo to náhle? → Neviem, keď som prišiel, už tu bol.
• Máte obal alebo zvyšky toho, čo užil? → Nie.
• Koľko má rokov a koľko váži? → Asi štyridsať.
• Urobil to úmyselne? → Neviem.
• Pil alkohol, bral lieky alebo drogy? → Áno, je cítiť alkohol.
• Stratil vedomie? → Ľudia hovoria, že chvíľu ležal a nehýbal sa.
• Je agresívny? → Áno, nadáva a kope do koša.</t>
  </si>
  <si>
    <t xml:space="preserve">• Nepribližujte sa k nemu, ak je agresívny.
• Ak sa dá, nech si na ranu pritlačí vreckovku.</t>
  </si>
  <si>
    <t xml:space="preserve">• Odvezte ho domov, vyspí sa z toho. – úraz hlavy pod vplyvom alkoholu môže byť vážny – musí ho vyšetriť lekár.</t>
  </si>
  <si>
    <t xml:space="preserve">Sedí (M, PZ).</t>
  </si>
  <si>
    <t xml:space="preserve">Zjedená tabletka
H2 · pri ňom</t>
  </si>
  <si>
    <t xml:space="preserve">„Syn zjedol jednu tabletku vitamínu D z môjho balenia. Je to nebezpečné?“</t>
  </si>
  <si>
    <t xml:space="preserve">Je úplne v poriadku, hrá sa.</t>
  </si>
  <si>
    <t xml:space="preserve">• ★ Čo presne a koľko užil? → Jednu tabletku vitamínu D.
• Kedy sa to začalo? Prišlo to náhle? → Pred desiatimi minútami.
• Máte obal alebo zvyšky toho, čo užil? → Áno, mám balenie.
• ★ Koľko má rokov a koľko váži? → Tri roky, pätnásť kíl.</t>
  </si>
  <si>
    <t xml:space="preserve">Konzultovať s NTIC (toxikologické centrum)</t>
  </si>
  <si>
    <t xml:space="preserve">Sedí (O, NTIC).</t>
  </si>
  <si>
    <t xml:space="preserve">Ochorenia</t>
  </si>
  <si>
    <t xml:space="preserve">Dehydratácia seniorky
H2 · pri ňom</t>
  </si>
  <si>
    <t xml:space="preserve">„Babka tri dni poriadne nepije, je slabá a trochu zmätená.“</t>
  </si>
  <si>
    <t xml:space="preserve">Je pri vedomí, ale je trochu zmätená.</t>
  </si>
  <si>
    <t xml:space="preserve">Je bledá, pery má suché.</t>
  </si>
  <si>
    <t xml:space="preserve">• Kedy sa to začalo? Prišlo to náhle? → Tri dni.
• ★ Pije a močí normálne? → Málo, od rána raz.
• Má vyrážky, stuhnutý krk, je spavý? → Je trochu zmätená, inak nič.
• Lieči sa s niečím dlhodobo? → Má tlak a cukrovku.
• Koľko má rokov? → Osemdesiatosem.</t>
  </si>
  <si>
    <t xml:space="preserve">• Dávajte jej piť po malých dúškoch, ak vie prehĺtať.
• Pripravte jej lieky a zdravotnú dokumentáciu.</t>
  </si>
  <si>
    <t xml:space="preserve">• Dajte jej naraz vypiť liter vody. – veľa tekutín naraz vyvolá zvracanie – po malých dúškoch.</t>
  </si>
  <si>
    <t xml:space="preserve">Upchatý katéter
H2 · pri ňom</t>
  </si>
  <si>
    <t xml:space="preserve">„Otcovi sa upchal močový katéter a bolí ho brucho.“</t>
  </si>
  <si>
    <t xml:space="preserve">• ★ Má teplotu? Koľko? → Nie.
• Kedy sa to začalo? Prišlo to náhle? → Od rána nemočí.
• Pije a močí normálne? → Pije, ale nemočí.
• Lieči sa s niečím dlhodobo? → Má problémy s prostatou.
• Koľko má rokov? → Sedemdesiatšesť.
• Kedy mu katéter menili? → Pred mesiacom u urológa.</t>
  </si>
  <si>
    <t xml:space="preserve">Vyčerpaná turistka · neprístupný terén
H2 · pri ňom</t>
  </si>
  <si>
    <t xml:space="preserve">„Sme na túre [miesto], manželka už nevládze ísť ďalej a stmieva sa.“</t>
  </si>
  <si>
    <t xml:space="preserve">Je pri vedomí, len je strašne unavená.</t>
  </si>
  <si>
    <t xml:space="preserve">Je bledá a mokrá od potu, trasie sa.</t>
  </si>
  <si>
    <t xml:space="preserve">Sme na značenom chodníku, autom sa sem nedá.</t>
  </si>
  <si>
    <t xml:space="preserve">• Má teplotu? Koľko? → Nie, je skôr studená.
• Kedy sa to začalo? Prišlo to náhle? → Posledné dve hodiny.
• Pije a močí normálne? → Vodu sme už minuli.
• Lieči sa s niečím dlhodobo? → Nie, je zdravá.
• Koľko má rokov? → Päťdesiatpäť.
• Máte čelovku a suché oblečenie? → Čelovku áno, manželka je celá spotená.
• Ste na značenom chodníku? → Áno, na červenej značke.</t>
  </si>
  <si>
    <t xml:space="preserve">• Nech sa oblečie do suchého a zje niečo sladké.
• Zostaňte spolu na chodníku a svieťte baterkou, nech vás nájdu.</t>
  </si>
  <si>
    <t xml:space="preserve">• Skráťte si cestu dole lesom mimo chodníka. – mimo chodníka sa po tme ľahko zablúdi alebo spadne – zostaňte na značke.
• Rozdeľte sa – vy bežte dole po pomoc, ona počká. – vyčerpaný človek osamote rýchlo prechladne a ťažšie sa hľadá – zostaňte spolu.</t>
  </si>
  <si>
    <t xml:space="preserve">Horúčka u dieťaťa
H2 · pri ňom</t>
  </si>
  <si>
    <t xml:space="preserve">„Synček má horúčku 38,5, inak je čulý a pije. Kam s ním mám ísť?“</t>
  </si>
  <si>
    <t xml:space="preserve">Je trochu červený, ale inak normálny.</t>
  </si>
  <si>
    <t xml:space="preserve">• Má teplotu? Koľko? → 38,5.
• Kedy sa to začalo? Prišlo to náhle? → Od včera večera.
• ★ Má vyrážky, stuhnutý krk, je spavý? → Nie, je čulý.
• Lieči sa s niečím dlhodobo? → Nie, je zdravý.
• ★ Koľko má rokov? → Štyri.</t>
  </si>
  <si>
    <t xml:space="preserve">Sedí (O). Červené vlajky (petechie, stuhnutý krk, spavosť) sú v otázkach.</t>
  </si>
  <si>
    <t xml:space="preserve">Gynekológia a pôrod
(aj: Krvácanie)</t>
  </si>
  <si>
    <t xml:space="preserve">Krvácanie v tehotenstve
H1 · pacient</t>
  </si>
  <si>
    <t xml:space="preserve">„Som v šiestom mesiaci a silno krvácam, bolí ma brucho!“</t>
  </si>
  <si>
    <t xml:space="preserve">Som bledá a točí sa mi hlava.</t>
  </si>
  <si>
    <t xml:space="preserve">Silno krvácam, mám už mokrú celú posteľ.</t>
  </si>
  <si>
    <t xml:space="preserve">• V ktorom ste týždni? Koľké dieťa to je? → V šiestom mesiaci, prvé dieťa.
• Odtiekla vám plodová voda? Krvácate? → Nie, len krv.
• Ako často máte kontrakcie? → Bolí ma brucho, ale pravidelné to nie je.
• ★ Cítite pohyby dieťaťa? → Neviem… teraz nie.
• Bolo tehotenstvo bez komplikácií? → Doteraz áno.
• Môžete byť tehotná? → Áno, som tehotná.
• Je tam s vami niekto? → Áno, mama.</t>
  </si>
  <si>
    <t xml:space="preserve">• Ľahnite si na ľavý bok a nevstávajte.
• Dajte si do nohavičiek čistú vložku alebo uterák, nič dovnútra.</t>
  </si>
  <si>
    <t xml:space="preserve">• Vezmite si tabletku proti bolesti. – v tehotenstve žiadne lieky bez lekára – môžu ublížiť dieťaťu.</t>
  </si>
  <si>
    <t xml:space="preserve">Sedí (N). Bledá, točí sa jej hlava – známky šoku; overiť, či nie K.</t>
  </si>
  <si>
    <t xml:space="preserve">Gynekológia a pôrod</t>
  </si>
  <si>
    <t xml:space="preserve">Pôrod
H2 · pri ňom</t>
  </si>
  <si>
    <t xml:space="preserve">„Manželke praskla plodová voda a kontrakcie sú každé dve minúty!“
„Manželka tlačí, už vidno hlavičku!“</t>
  </si>
  <si>
    <t xml:space="preserve">Je pri vedomí, kričí od bolesti.</t>
  </si>
  <si>
    <t xml:space="preserve">Je červená, spotená.</t>
  </si>
  <si>
    <t xml:space="preserve">Trochu, s plodovou vodou.</t>
  </si>
  <si>
    <t xml:space="preserve">• ★ V ktorom je týždni? Koľké dieťa to je? → Tretie, je v 39. týždni.
• Odtiekla plodová voda? Krváca? → Áno, praskla plodová voda.
• Ako často sú kontrakcie? → Každé dve minúty.
• ★ Má nutkanie tlačiť? Vidno hlavičku? → Hovorí, že už musí tlačiť!
• Môže byť tehotná? → Áno, rodí!</t>
  </si>
  <si>
    <t xml:space="preserve">• Pripravte čisté uteráky a teplú deku.
• Keď sa dieťa narodí, osušte ho, položte mame na hruď a prikryte oboch.
• Pupočník neprestrihujte, to urobí záchranka.</t>
  </si>
  <si>
    <t xml:space="preserve">• Nech mama drží nohy pri sebe, kým nepríde záchranka. – pôrod sa nedá zastaviť a zadržiavanie môže ublížiť dieťaťu aj mame.
• Keď uvidíte hlavičku, potiahnite dieťa von. – dieťa sa rodí samo – ťahanie poraní dieťa aj mamu, hlavičku treba len jemne podopierať.</t>
  </si>
  <si>
    <t xml:space="preserve">Sedí (N). Pokyny podľa skriptu.</t>
  </si>
  <si>
    <t xml:space="preserve">Kontrakcie každých päť minút
H2 · pri ňom</t>
  </si>
  <si>
    <t xml:space="preserve">„Manželke idú kontrakcie každých päť minút, je v termíne. Je to prvé dieťa.“</t>
  </si>
  <si>
    <t xml:space="preserve">• V ktorom je týždni? Koľké dieťa to je? → V 40. týždni, prvé dieťa.
• Ako často sú kontrakcie? → Každých päť minút.
• ★ Bolo tehotenstvo bez komplikácií? → Áno, všetko bolo v poriadku.
• Môže byť tehotná? → Áno.</t>
  </si>
  <si>
    <t xml:space="preserve">• Pripravte doklady, tehotenskú knižku a tašku do pôrodnice.
• Nech si sadne alebo ľahne na bok, ako jej je pohodlnejšie.</t>
  </si>
  <si>
    <t xml:space="preserve">• Nech si dá horúci kúpeľ, uľaví sa jej. – horúci kúpeľ môže spôsobiť pokles tlaku a odpadnutie.</t>
  </si>
  <si>
    <t xml:space="preserve">Menštruačné bolesti
H1 · pacient</t>
  </si>
  <si>
    <t xml:space="preserve">„Mám strašné bolesti pri menštruácii, tabletka nezabrala. Čo mám robiť?“</t>
  </si>
  <si>
    <t xml:space="preserve">• V ktorom ste týždni? Koľké dieťa to je? → Nie som tehotná.
• Odtiekla vám plodová voda? Krvácate? → Krvácam normálne, ako vždy.
• Ako často máte kontrakcie? → Nie som tehotná.
• Má nutkanie tlačiť? Vidno hlavičku? → Nie som tehotná.
• Cítite pohyby dieťaťa? → Nie som tehotná.
• Bolo tehotenstvo bez komplikácií? → Nie som tehotná.
• Krvácate silnejšie ako zvyčajne? → Nie, normálne.</t>
  </si>
  <si>
    <t xml:space="preserve">Nepatrí na 155</t>
  </si>
  <si>
    <t xml:space="preserve">Krádež</t>
  </si>
  <si>
    <t xml:space="preserve">„Z auta mi ukradli tašku. Kto mi pomôže?“</t>
  </si>
  <si>
    <t xml:space="preserve">Nikto tu nie je chorý ani zranený.</t>
  </si>
  <si>
    <t xml:space="preserve">Áno… nikomu nič nie je.</t>
  </si>
  <si>
    <t xml:space="preserve">Nie, nikto sa nezranil.</t>
  </si>
  <si>
    <t xml:space="preserve">Nie, len to treba vyriešiť.</t>
  </si>
  <si>
    <t xml:space="preserve">• Ako vyzerá zlodej a kam išiel? → Vysoký, šedá mikina, na bicykli smerom k parku.
• Kedy sa to stalo? → Pred piatimi minútami.</t>
  </si>
  <si>
    <t xml:space="preserve">Hovor nepatrí na 155 – správne je odovzdať na 112.</t>
  </si>
  <si>
    <t xml:space="preserve">Strom na ceste</t>
  </si>
  <si>
    <t xml:space="preserve">„Cez cestu [miesto] spadol strom, nedá sa prejsť.“</t>
  </si>
  <si>
    <t xml:space="preserve">• Strhol strom aj elektrické drôty? → Áno, drôty ležia na ceste!
• Je pod stromom auto alebo človek? → Nie, auto stihlo zastaviť.</t>
  </si>
  <si>
    <t xml:space="preserve">Túlavý pes</t>
  </si>
  <si>
    <t xml:space="preserve">„Na detskom ihrisku pobehuje agresívny pes bez náhubku.“</t>
  </si>
  <si>
    <t xml:space="preserve">• Pohrýzol niekoho? → Zatiaľ nie, ale vrčí na deti.
• Kde presne je teraz? → Pri pieskovisku.</t>
  </si>
  <si>
    <t xml:space="preserve">Kritériá naliehavosti podľa kategórií (zjednodušené, vlastnými slovami)</t>
  </si>
  <si>
    <t xml:space="preserve">Stupeň</t>
  </si>
  <si>
    <t xml:space="preserve">Význam</t>
  </si>
  <si>
    <t xml:space="preserve">Kritérium</t>
  </si>
  <si>
    <t xml:space="preserve">kritický</t>
  </si>
  <si>
    <t xml:space="preserve">Nereaguje a nedýcha normálne – aj občasné lapavé dychy sú zástava</t>
  </si>
  <si>
    <t xml:space="preserve">Opravené: ostali len lapavé dychy.</t>
  </si>
  <si>
    <t xml:space="preserve">Hneď TANR, najbližšia posádka a lekár</t>
  </si>
  <si>
    <t xml:space="preserve">odkladný</t>
  </si>
  <si>
    <t xml:space="preserve">Nedýcha a má isté známky smrti: stuhnutý, studený, fialové škvrny</t>
  </si>
  <si>
    <t xml:space="preserve">Úmrtie na verejnosti alebo za nejasných okolností (rana, podozrenie na cudzie zavinenie) – informuj aj políciu</t>
  </si>
  <si>
    <t xml:space="preserve">Nové podľa tvojej odpovede: polícia len pri úmrtí na verejnosti alebo za nejasných okolností.</t>
  </si>
  <si>
    <t xml:space="preserve">pozn.</t>
  </si>
  <si>
    <t xml:space="preserve">Ak pacient dýcha, vyber kategóriu Porucha vedomia.</t>
  </si>
  <si>
    <t xml:space="preserve">Bezvedomie – nereaguje, ale dýcha</t>
  </si>
  <si>
    <t xml:space="preserve">Diabetik v bezvedomí (veľmi nízky alebo vysoký cukor)</t>
  </si>
  <si>
    <t xml:space="preserve">naliehavý</t>
  </si>
  <si>
    <t xml:space="preserve">Spavý, zmätený, reaguje len na oslovenie alebo bolesť</t>
  </si>
  <si>
    <t xml:space="preserve">Po kolapse ostal spavý alebo je nový zmätok</t>
  </si>
  <si>
    <t xml:space="preserve">Kolaps u dieťaťa, seniora alebo pri srdcových ťažkostiach</t>
  </si>
  <si>
    <t xml:space="preserve">Krátky kolaps má teraz 25 rokov (M).</t>
  </si>
  <si>
    <t xml:space="preserve">menej naliehavý</t>
  </si>
  <si>
    <t xml:space="preserve">Krátko odpadol a úplne sa prebral</t>
  </si>
  <si>
    <t xml:space="preserve">Tesne pred kolapsom: závrat, slabosť, studený pot, mžitky</t>
  </si>
  <si>
    <t xml:space="preserve">Ťažkosti počas hovoru prešli a iné nie sú</t>
  </si>
  <si>
    <t xml:space="preserve">Modré pery a tvár</t>
  </si>
  <si>
    <t xml:space="preserve">Pre dýchavicu nevie povedať ani slovo, ťažký záchvat astmy</t>
  </si>
  <si>
    <t xml:space="preserve">Vdýchnuté sústo: nekašle, nerozpráva, lapá po dychu</t>
  </si>
  <si>
    <t xml:space="preserve">Vykašliava veľa krvi</t>
  </si>
  <si>
    <t xml:space="preserve">Hlučný nádych, chrapot, pískanie</t>
  </si>
  <si>
    <t xml:space="preserve">Astma alebo chronická choroba pľúc s dýchavicou v pokoji</t>
  </si>
  <si>
    <t xml:space="preserve">Hovorí len s námahou, neutíchajúci kašeľ</t>
  </si>
  <si>
    <t xml:space="preserve">Rýchle dýchanie po rozrušení, mravčenie prstov a okolo úst</t>
  </si>
  <si>
    <t xml:space="preserve">Mierna dýchavica pri námahe</t>
  </si>
  <si>
    <t xml:space="preserve">Po zakašľaní je v poriadku</t>
  </si>
  <si>
    <t xml:space="preserve">Bez dýchavice – kašeľ, nádcha</t>
  </si>
  <si>
    <t xml:space="preserve">Rada volajúcemu, 116117</t>
  </si>
  <si>
    <t xml:space="preserve">Masívne krvácanie, známky šoku (bledý, studený pot)</t>
  </si>
  <si>
    <t xml:space="preserve">Zvracanie krvi alebo „kávovej usadeniny“, čierna či čerstvá krv v stolici</t>
  </si>
  <si>
    <t xml:space="preserve">Krvácanie z nosa, ktoré sa nedá zastaviť, alebo pri liekoch na riedenie krvi</t>
  </si>
  <si>
    <t xml:space="preserve">Krv v moči so slabosťou a bledosťou</t>
  </si>
  <si>
    <t xml:space="preserve">Menšie krvácanie zo žalúdka či čriev</t>
  </si>
  <si>
    <t xml:space="preserve">Opakované krvácanie z nosa, nie masívne</t>
  </si>
  <si>
    <t xml:space="preserve">Krv v moči bez známok šoku</t>
  </si>
  <si>
    <t xml:space="preserve">Krvácanie z nosa sa zastavilo, je stabilný</t>
  </si>
  <si>
    <t xml:space="preserve">Krvácanie z ďasien, drobné krvácanie z konečníka</t>
  </si>
  <si>
    <t xml:space="preserve">Rada volajúcemu</t>
  </si>
  <si>
    <t xml:space="preserve">Náhla prudká bolesť bez úrazu – hlava, brucho, chrbát</t>
  </si>
  <si>
    <t xml:space="preserve">Bolesť chrbta a doplňujúce otázky odhalia únik či zadržanie moču alebo stolice, alebo necitlivosť v rozkroku</t>
  </si>
  <si>
    <t xml:space="preserve">Nové podľa tvojej odpovede: N len pri varovných príznakoch zistených doplňujúcimi otázkami.</t>
  </si>
  <si>
    <t xml:space="preserve">Studená, bledá, bolestivá končatina</t>
  </si>
  <si>
    <t xml:space="preserve">Neznesiteľná bolesť, bledosť, známky šoku</t>
  </si>
  <si>
    <t xml:space="preserve">Kolaps pri bolesti</t>
  </si>
  <si>
    <t xml:space="preserve">Silná, postupne vzniknutá bolesť hlavy, brucha či chrbta</t>
  </si>
  <si>
    <t xml:space="preserve">Bolesť chrbta s mravčením do nohy – moč a stolicu udrží, v rozkroku cíti normálne</t>
  </si>
  <si>
    <t xml:space="preserve">Upravené podľa tvojej odpovede: M, ak doplňujúce otázky varovné príznaky nenájdu.</t>
  </si>
  <si>
    <t xml:space="preserve">Obličková kolika bez známok šoku</t>
  </si>
  <si>
    <t xml:space="preserve">Bolesť pri nádorovom ochorení – zváž RLP alebo RV</t>
  </si>
  <si>
    <t xml:space="preserve">Dlhodobá bolesť bez náhleho zhoršenia</t>
  </si>
  <si>
    <t xml:space="preserve">Bolesť na hrudi s bledosťou, studeným potom, dýchavicou, zvracaním</t>
  </si>
  <si>
    <t xml:space="preserve">Porucha rytmu s kolapsom alebo dýchavicou</t>
  </si>
  <si>
    <t xml:space="preserve">Opakované výboje defibrilátora, zmätenosť po výboji</t>
  </si>
  <si>
    <t xml:space="preserve">Opakovaný kolaps, šok</t>
  </si>
  <si>
    <t xml:space="preserve">Srdcová bolesť na hrudi (tlak, pálenie, vyžarovanie) v časovom okne</t>
  </si>
  <si>
    <t xml:space="preserve">Pulz nad 150 alebo pod 50 bez kolapsu</t>
  </si>
  <si>
    <t xml:space="preserve">Veľmi vysoký tlak (dolný nad 130) s ťažkosťami</t>
  </si>
  <si>
    <t xml:space="preserve">Pichavá bolesť na hrudi pri pohybe, bez ďalších príznakov</t>
  </si>
  <si>
    <t xml:space="preserve">Vysoký tlak, dolný do 130</t>
  </si>
  <si>
    <t xml:space="preserve">Nová situácia Vysoký tlak (M).</t>
  </si>
  <si>
    <t xml:space="preserve">Nepravidelný pulz, búšenie srdca</t>
  </si>
  <si>
    <t xml:space="preserve">Zhoršenie chronického stavu (opuchy, únava)</t>
  </si>
  <si>
    <t xml:space="preserve">Život nie je ohrozený</t>
  </si>
  <si>
    <t xml:space="preserve">Konzultácia liečby, rada volajúcemu</t>
  </si>
  <si>
    <t xml:space="preserve">Kŕče neprestávajú alebo sa opakujú (status epilepticus)</t>
  </si>
  <si>
    <t xml:space="preserve">Náhle ovisnutý kútik, slabosť ruky či nohy, porucha reči (FAST) – zisti, kedy to začalo</t>
  </si>
  <si>
    <t xml:space="preserve">Prebiehajúce kŕče, kŕče pri horúčke, kŕče u dieťaťa</t>
  </si>
  <si>
    <t xml:space="preserve">Závrat, dvojité videnie, mravčenie, zmätenosť</t>
  </si>
  <si>
    <t xml:space="preserve">Epileptik po záchvate bez dozoru alebo s poranením</t>
  </si>
  <si>
    <t xml:space="preserve">Zhoršenie chronického stavu</t>
  </si>
  <si>
    <t xml:space="preserve">Epileptik sa preberá a je o neho postarané</t>
  </si>
  <si>
    <t xml:space="preserve">Migréna, dlhodobé ťažkosti bez ohrozenia</t>
  </si>
  <si>
    <t xml:space="preserve">Náhla zmena správania – ohrozuje seba alebo okolie</t>
  </si>
  <si>
    <t xml:space="preserve">Agresívny pacient – vyžiadaj PZ</t>
  </si>
  <si>
    <t xml:space="preserve">Hrozí samovraždou, bezprostredné riziko – PZ</t>
  </si>
  <si>
    <t xml:space="preserve">Nútený prevoz, pacient nesúhlasí – PZ</t>
  </si>
  <si>
    <t xml:space="preserve">Po pokuse o samovraždu, stav stabilný</t>
  </si>
  <si>
    <t xml:space="preserve">Akútna reakcia na stres, depresia, halucinácie, demencia</t>
  </si>
  <si>
    <t xml:space="preserve">Nútený prevoz, pacient súhlasí</t>
  </si>
  <si>
    <t xml:space="preserve">Odporuč linku psychologickej pomoci</t>
  </si>
  <si>
    <t xml:space="preserve">Náhly vznik: dýchavica, chrapot, pískanie, nevie hovoriť</t>
  </si>
  <si>
    <t xml:space="preserve">Opuch tváre, jazyka, krku</t>
  </si>
  <si>
    <t xml:space="preserve">Kolaps, prudký pokles tlaku</t>
  </si>
  <si>
    <t xml:space="preserve">Podozrenie na anafylaxiu – nech použije adrenalínové pero</t>
  </si>
  <si>
    <t xml:space="preserve">Pocit sťaženého dýchania bez ďalších príznakov</t>
  </si>
  <si>
    <t xml:space="preserve">Žihľavka po celom tele, svrbenie</t>
  </si>
  <si>
    <t xml:space="preserve">Miestny opuch, začervenanie, svrbenie</t>
  </si>
  <si>
    <t xml:space="preserve">Náhla zmätenosť, porucha správania</t>
  </si>
  <si>
    <t xml:space="preserve">Zápach acetónu, hlboké rýchle dýchanie</t>
  </si>
  <si>
    <t xml:space="preserve">Nízky cukor a nevie prijať sladké</t>
  </si>
  <si>
    <t xml:space="preserve">Zvracanie s rizikom vdýchnutia</t>
  </si>
  <si>
    <t xml:space="preserve">Nízky cukor, ale je orientovaný (slabosť, potenie, triaška)</t>
  </si>
  <si>
    <t xml:space="preserve">Vysoký cukor: smäd, časté močenie, únava</t>
  </si>
  <si>
    <t xml:space="preserve">Nevoľnosť a zvracanie u diabetika</t>
  </si>
  <si>
    <t xml:space="preserve">Vysoký cukor bez ťažkostí</t>
  </si>
  <si>
    <t xml:space="preserve">Kontrola liečby, rada volajúcemu</t>
  </si>
  <si>
    <t xml:space="preserve">Diabetik v bezvedomí: kategória Porucha vedomia, stupeň K.</t>
  </si>
  <si>
    <t xml:space="preserve">Zlyhávajú životné funkcie: bezvedomie, nedýcha</t>
  </si>
  <si>
    <t xml:space="preserve">Splnené kritériá trauma triáže</t>
  </si>
  <si>
    <t xml:space="preserve">Môžu zlyhať životné funkcie</t>
  </si>
  <si>
    <t xml:space="preserve">Závažný mechanizmus: vysoká rýchlosť, prevrátenie, zakliesnenie, zrazený chodec, motorkár</t>
  </si>
  <si>
    <t xml:space="preserve">Polícia ide k dopravným nehodám.</t>
  </si>
  <si>
    <t xml:space="preserve">Zranené dieťa alebo tehotná</t>
  </si>
  <si>
    <t xml:space="preserve">Zranenie ohrozuje zdravie, nie život</t>
  </si>
  <si>
    <t xml:space="preserve">Nikto nie je zranený – vec pre políciu</t>
  </si>
  <si>
    <t xml:space="preserve">Bezvedomie alebo ťažká dýchavica po úraze</t>
  </si>
  <si>
    <t xml:space="preserve">⚠ Vlastný strom – obrazovku Úrazy som nemal. Over celý.</t>
  </si>
  <si>
    <t xml:space="preserve">Bodné či strelné poranenie hlavy, krku, trupu</t>
  </si>
  <si>
    <t xml:space="preserve">Veľké vonkajšie krvácanie, šok</t>
  </si>
  <si>
    <t xml:space="preserve">Pád z veľkej výšky</t>
  </si>
  <si>
    <t xml:space="preserve">Podozrenie na poranenie chrbtice – necíti alebo nehýbe končatinami</t>
  </si>
  <si>
    <t xml:space="preserve">Zlomenina stehna, panvy, otvorená zlomenina</t>
  </si>
  <si>
    <t xml:space="preserve">Úraz hlavy s krátkou stratou vedomia</t>
  </si>
  <si>
    <t xml:space="preserve">Zlomenina ruky alebo členka bez krvácania</t>
  </si>
  <si>
    <t xml:space="preserve">Senior po páde nevie vstať, je pri vedomí</t>
  </si>
  <si>
    <t xml:space="preserve">Odreniny, drobné rany, podvrtnutie</t>
  </si>
  <si>
    <t xml:space="preserve">Zlyhávajú životné funkcie: dýchanie, obeh, vedomie</t>
  </si>
  <si>
    <t xml:space="preserve">Kŕče pri otrave</t>
  </si>
  <si>
    <t xml:space="preserve">Veľká dávka veľmi jedovatej látky</t>
  </si>
  <si>
    <t xml:space="preserve">Spavý, reaguje len na oslovenie alebo bolesť</t>
  </si>
  <si>
    <t xml:space="preserve">Nebezpečná látka: lieky na spanie či na depresiu, vysoká dávka paracetamolu, drogy, chemikálie</t>
  </si>
  <si>
    <t xml:space="preserve">Zmena správania, veľa zvracia, silná bolesť brucha</t>
  </si>
  <si>
    <t xml:space="preserve">Ohrozené zdravie, nie život</t>
  </si>
  <si>
    <t xml:space="preserve">Kašeľ či zvracanie po malom množstve</t>
  </si>
  <si>
    <t xml:space="preserve">Dieťa, ktoré mohlo zjesť lieky alebo chemikáliu</t>
  </si>
  <si>
    <t xml:space="preserve">Konzultácia s NTIC, kontrolný telefonát</t>
  </si>
  <si>
    <t xml:space="preserve">Dehydratácia, zvracanie, zhoršujúca sa horúčka</t>
  </si>
  <si>
    <t xml:space="preserve">Upchatý katéter alebo vyústenie</t>
  </si>
  <si>
    <t xml:space="preserve">Horúčka, nevoľnosť, opuch bez ohrozenia</t>
  </si>
  <si>
    <t xml:space="preserve">Odporuč 116117 alebo všeobecného lekára</t>
  </si>
  <si>
    <t xml:space="preserve">Rozbehnutý pôrod – vidno hlavičku, nutkanie tlačiť: veď pôrod telefonicky</t>
  </si>
  <si>
    <t xml:space="preserve">Silné krvácanie, vypadnutá pupočná šnúra, pôrod pred 32. týždňom</t>
  </si>
  <si>
    <t xml:space="preserve">Rizikový pôrod: dvojčatá, poloha koncom panvovým</t>
  </si>
  <si>
    <t xml:space="preserve">Masívne gynekologické krvácanie, prudká bolesť, šok</t>
  </si>
  <si>
    <t xml:space="preserve">Kontrakcie každých 5 minút v termíne</t>
  </si>
  <si>
    <t xml:space="preserve">Odtok plodovej vody bez komplikácií</t>
  </si>
  <si>
    <t xml:space="preserve">Silné gynekologické krvácanie bez šoku, možný potrat</t>
  </si>
  <si>
    <t xml:space="preserve">Zdravé tehotenstvo, nepravidelné poslíčky</t>
  </si>
  <si>
    <t xml:space="preserve">Slabé krvácanie, menštruačné bolesti</t>
  </si>
  <si>
    <t xml:space="preserve">Otázky k problému podľa kategórie – neutrálne otvorené otázky a sugestívne chytáky</t>
  </si>
  <si>
    <t xml:space="preserve">Otázka</t>
  </si>
  <si>
    <t xml:space="preserve">Otázka pacientovi (H1)</t>
  </si>
  <si>
    <t xml:space="preserve">Predvolená odpoveď</t>
  </si>
  <si>
    <t xml:space="preserve">Druh</t>
  </si>
  <si>
    <t xml:space="preserve">Prečo je chyták</t>
  </si>
  <si>
    <t xml:space="preserve">Kedy sa to začalo? Prišlo to náhle?</t>
  </si>
  <si>
    <t xml:space="preserve">Neviem presne, pred chvíľou.</t>
  </si>
  <si>
    <t xml:space="preserve">neutrálna</t>
  </si>
  <si>
    <t xml:space="preserve">Dýcha normálne, alebo len občas zalapá po dychu?</t>
  </si>
  <si>
    <t xml:space="preserve">Neviem… nevidím dobre.</t>
  </si>
  <si>
    <t xml:space="preserve">Stláča mu niekto hrudník?</t>
  </si>
  <si>
    <t xml:space="preserve">Nie, nikto.</t>
  </si>
  <si>
    <t xml:space="preserve">Je nablízku defibrilátor (AED)?</t>
  </si>
  <si>
    <t xml:space="preserve">Neviem o žiadnom.</t>
  </si>
  <si>
    <t xml:space="preserve">Je studený, stuhnutý, má na tele fialové škvrny?</t>
  </si>
  <si>
    <t xml:space="preserve">Nie, je ešte teplý.</t>
  </si>
  <si>
    <t xml:space="preserve">Lieči sa s niečím dlhodobo?</t>
  </si>
  <si>
    <t xml:space="preserve">Liečite sa s niečím dlhodobo?</t>
  </si>
  <si>
    <t xml:space="preserve">Nič vážne.</t>
  </si>
  <si>
    <t xml:space="preserve">Koľko má rokov?</t>
  </si>
  <si>
    <t xml:space="preserve">Koľko máte rokov?</t>
  </si>
  <si>
    <t xml:space="preserve">Neviem presne. / pacient: Štyridsať.</t>
  </si>
  <si>
    <t xml:space="preserve">Je tam ešte niekto, kto môže pomôcť?</t>
  </si>
  <si>
    <t xml:space="preserve">Je pri vás niekto?</t>
  </si>
  <si>
    <t xml:space="preserve">Nie, nikto iný tu nie je. / pacient: Nie, nikto.</t>
  </si>
  <si>
    <t xml:space="preserve">Ale ešte dýcha, však?</t>
  </si>
  <si>
    <t xml:space="preserve">Asi áno… neviem.</t>
  </si>
  <si>
    <t xml:space="preserve">chyták (−5)</t>
  </si>
  <si>
    <t xml:space="preserve">v strese volajúci pritaká a TANR sa nezačne. Pýtaj sa otvorene: „Dýcha normálne?“</t>
  </si>
  <si>
    <t xml:space="preserve">Má cukrovku?</t>
  </si>
  <si>
    <t xml:space="preserve">Máte cukrovku?</t>
  </si>
  <si>
    <t xml:space="preserve">Nie, cukrovku nie.</t>
  </si>
  <si>
    <t xml:space="preserve">Máte glukomer? Koľko ukazuje?</t>
  </si>
  <si>
    <t xml:space="preserve">Nemerali sme. / pacient: Nemeral som.</t>
  </si>
  <si>
    <t xml:space="preserve">Udrel si hlavu, stratil vedomie?</t>
  </si>
  <si>
    <t xml:space="preserve">Udreli ste si hlavu, odpadli ste?</t>
  </si>
  <si>
    <t xml:space="preserve">Aké lieky berie? Vzal si ich dnes?</t>
  </si>
  <si>
    <t xml:space="preserve">Aké lieky beriete? Vzali ste si ich dnes?</t>
  </si>
  <si>
    <t xml:space="preserve">Nič zvláštne.</t>
  </si>
  <si>
    <t xml:space="preserve">Stalo sa mu to už niekedy?</t>
  </si>
  <si>
    <t xml:space="preserve">Stalo sa vám to už niekedy?</t>
  </si>
  <si>
    <t xml:space="preserve">Nie, prvýkrát.</t>
  </si>
  <si>
    <t xml:space="preserve">Mal pred tým bolesť na hrudi alebo búšenie srdca?</t>
  </si>
  <si>
    <t xml:space="preserve">Mali ste pred tým bolesť na hrudi alebo búšenie srdca?</t>
  </si>
  <si>
    <t xml:space="preserve">Nie, nič také.</t>
  </si>
  <si>
    <t xml:space="preserve">Ale už je v poriadku, však?</t>
  </si>
  <si>
    <t xml:space="preserve">Ale už ste v poriadku, však?</t>
  </si>
  <si>
    <t xml:space="preserve">Asi áno…</t>
  </si>
  <si>
    <t xml:space="preserve">volajúci pritaká a prehliadneš zmätenosť či ďalší kolaps. Pýtaj sa: „Ako sa správa teraz?“</t>
  </si>
  <si>
    <t xml:space="preserve">Vie povedať celú vetu?</t>
  </si>
  <si>
    <t xml:space="preserve">Viete povedať celú vetu?</t>
  </si>
  <si>
    <t xml:space="preserve">Áno, hovorí normálne. / pacient: Áno.</t>
  </si>
  <si>
    <t xml:space="preserve">Má astmu alebo chronickú chorobu pľúc?</t>
  </si>
  <si>
    <t xml:space="preserve">Máte astmu alebo chronickú chorobu pľúc?</t>
  </si>
  <si>
    <t xml:space="preserve">Má inhalátor alebo kyslík? Použil ho?</t>
  </si>
  <si>
    <t xml:space="preserve">Máte inhalátor alebo kyslík? Použili ste ho?</t>
  </si>
  <si>
    <t xml:space="preserve">Nemá nič také. / pacient: Nemám.</t>
  </si>
  <si>
    <t xml:space="preserve">Bolí ho pri tom na hrudi?</t>
  </si>
  <si>
    <t xml:space="preserve">Bolí vás pri tom na hrudi?</t>
  </si>
  <si>
    <t xml:space="preserve">Má teplotu? Koľko?</t>
  </si>
  <si>
    <t xml:space="preserve">Máte teplotu? Koľko?</t>
  </si>
  <si>
    <t xml:space="preserve">Nie, nemá. / pacient: Nie, nemám.</t>
  </si>
  <si>
    <t xml:space="preserve">Mohol niečo vdýchnuť alebo prehltnúť?</t>
  </si>
  <si>
    <t xml:space="preserve">Nie je to až také zlé, však?</t>
  </si>
  <si>
    <t xml:space="preserve">Asi nie… neviem.</t>
  </si>
  <si>
    <t xml:space="preserve">volajúci zľahčí dýchavicu. Pýtaj sa: „Vie povedať celú vetu?“</t>
  </si>
  <si>
    <t xml:space="preserve">Odkiaľ presne krváca?</t>
  </si>
  <si>
    <t xml:space="preserve">Odkiaľ presne krvácate?</t>
  </si>
  <si>
    <t xml:space="preserve">Neviem presne.</t>
  </si>
  <si>
    <t xml:space="preserve">Koľko krvi asi stratil?</t>
  </si>
  <si>
    <t xml:space="preserve">Koľko krvi ste asi stratili?</t>
  </si>
  <si>
    <t xml:space="preserve">Neviem odhadnúť.</t>
  </si>
  <si>
    <t xml:space="preserve">Berie lieky na riedenie krvi?</t>
  </si>
  <si>
    <t xml:space="preserve">Beriete lieky na riedenie krvi?</t>
  </si>
  <si>
    <t xml:space="preserve">Koľko ukazuje tlakomer?</t>
  </si>
  <si>
    <t xml:space="preserve">Mal problémy so žalúdkom alebo vred?</t>
  </si>
  <si>
    <t xml:space="preserve">Mali ste problémy so žalúdkom alebo vred?</t>
  </si>
  <si>
    <t xml:space="preserve">Už to prestáva, však?</t>
  </si>
  <si>
    <t xml:space="preserve">zľahčené krvácanie sa ľahko podhodnotí. Pýtaj sa: „Koľko krvi asi stratil?“</t>
  </si>
  <si>
    <t xml:space="preserve">Kde presne to bolí a kam to vystreľuje?</t>
  </si>
  <si>
    <t xml:space="preserve">Neviem presne opísať.</t>
  </si>
  <si>
    <t xml:space="preserve">Zvracia? Má teplotu?</t>
  </si>
  <si>
    <t xml:space="preserve">Zvraciate? Máte teplotu?</t>
  </si>
  <si>
    <t xml:space="preserve">Udrží moč a stolicu?</t>
  </si>
  <si>
    <t xml:space="preserve">Udržíte moč a stolicu?</t>
  </si>
  <si>
    <t xml:space="preserve">Áno.</t>
  </si>
  <si>
    <t xml:space="preserve">Cíti normálne dotyk v rozkroku a na nohách?</t>
  </si>
  <si>
    <t xml:space="preserve">Cítite normálne dotyk v rozkroku a na nohách?</t>
  </si>
  <si>
    <t xml:space="preserve">Má nepravidelný pulz alebo chorobu srdca?</t>
  </si>
  <si>
    <t xml:space="preserve">Máte nepravidelný pulz alebo chorobu srdca?</t>
  </si>
  <si>
    <t xml:space="preserve">Je v moči krv?</t>
  </si>
  <si>
    <t xml:space="preserve">Je to asi len niečo zle zjedené, však?</t>
  </si>
  <si>
    <t xml:space="preserve">naznačuješ diagnózu – volajúci prikývne a prehliadneš náhlu príhodu.</t>
  </si>
  <si>
    <t xml:space="preserve">Koľko má pulz? Bije srdce pravidelne?</t>
  </si>
  <si>
    <t xml:space="preserve">Koľko máte pulz? Bije srdce pravidelne?</t>
  </si>
  <si>
    <t xml:space="preserve">Lieči sa so srdcom? Mal infarkt alebo stent?</t>
  </si>
  <si>
    <t xml:space="preserve">Liečite sa so srdcom? Mali ste infarkt alebo stent?</t>
  </si>
  <si>
    <t xml:space="preserve">Má aj iné ťažkosti – poruchu reči, slabú ruku, zle vidí?</t>
  </si>
  <si>
    <t xml:space="preserve">Máte aj iné ťažkosti – poruchu reči, slabú ruku, zle vidíte?</t>
  </si>
  <si>
    <t xml:space="preserve">Odpadol, stratil vedomie?</t>
  </si>
  <si>
    <t xml:space="preserve">Odpadli ste?</t>
  </si>
  <si>
    <t xml:space="preserve">Bolesť na hrudi nemá, však?</t>
  </si>
  <si>
    <t xml:space="preserve">Bolesť na hrudi nemáte, však?</t>
  </si>
  <si>
    <t xml:space="preserve">Nie… asi nie.</t>
  </si>
  <si>
    <t xml:space="preserve">otázka s „však“ núti pritakať a infarkt sa prehliadne. Pýtaj sa: „Kde presne to bolí?“</t>
  </si>
  <si>
    <t xml:space="preserve">Ale nič vážne to nie je, však?</t>
  </si>
  <si>
    <t xml:space="preserve">volajúci potom zľahčuje aj ostatné ťažkosti.</t>
  </si>
  <si>
    <t xml:space="preserve">Ovisol mu kútik, má slabú ruku alebo poruchu reči?</t>
  </si>
  <si>
    <t xml:space="preserve">Ovisol vám kútik, máte slabú ruku alebo poruchu reči?</t>
  </si>
  <si>
    <t xml:space="preserve">Je epileptik? Berie lieky?</t>
  </si>
  <si>
    <t xml:space="preserve">Ste epileptik? Beriete lieky?</t>
  </si>
  <si>
    <t xml:space="preserve">Nie, neviem o tom. / pacient: Nie.</t>
  </si>
  <si>
    <t xml:space="preserve">Ako dlho kŕče trvajú? Prebral sa medzi nimi?</t>
  </si>
  <si>
    <t xml:space="preserve">Kŕče nemá. / pacient: Kŕče nemám.</t>
  </si>
  <si>
    <t xml:space="preserve">Poranil sa pri tom?</t>
  </si>
  <si>
    <t xml:space="preserve">Poranili ste sa?</t>
  </si>
  <si>
    <t xml:space="preserve">Nie, nevidím zranenie. / pacient: Nie.</t>
  </si>
  <si>
    <t xml:space="preserve">Ale nie je to porážka, však?</t>
  </si>
  <si>
    <t xml:space="preserve">pri mozgovej príhode rozhoduje čas – pýtaj sa na príznaky, nie na diagnózu.</t>
  </si>
  <si>
    <t xml:space="preserve">Hovorí, že by si chcel ublížiť?</t>
  </si>
  <si>
    <t xml:space="preserve">Myslíte na to, že by ste si ublížili?</t>
  </si>
  <si>
    <t xml:space="preserve">Nie, to nie.</t>
  </si>
  <si>
    <t xml:space="preserve">Pil alkohol, bral lieky alebo drogy?</t>
  </si>
  <si>
    <t xml:space="preserve">Pili ste alkohol, brali ste lieky alebo drogy?</t>
  </si>
  <si>
    <t xml:space="preserve">Má pri sebe zbraň alebo nôž? Ohrozuje niekoho?</t>
  </si>
  <si>
    <t xml:space="preserve">Lieči sa u psychiatra?</t>
  </si>
  <si>
    <t xml:space="preserve">Liečite sa u psychiatra?</t>
  </si>
  <si>
    <t xml:space="preserve">Neviem o tom. / pacient: Nie.</t>
  </si>
  <si>
    <t xml:space="preserve">Nič si neurobí, však?</t>
  </si>
  <si>
    <t xml:space="preserve">Nič si neurobíte, však?</t>
  </si>
  <si>
    <t xml:space="preserve">riziko samovraždy treba zistiť priamou otázkou: „Hovorí, že by si chcel ublížiť?“</t>
  </si>
  <si>
    <t xml:space="preserve">Na čo reagoval a kedy?</t>
  </si>
  <si>
    <t xml:space="preserve">Na čo ste reagovali a kedy?</t>
  </si>
  <si>
    <t xml:space="preserve">Opuchá mu tvár, jazyk alebo hrdlo?</t>
  </si>
  <si>
    <t xml:space="preserve">Opuchá vám tvár, jazyk alebo hrdlo?</t>
  </si>
  <si>
    <t xml:space="preserve">Je alergik? Má adrenalínové pero?</t>
  </si>
  <si>
    <t xml:space="preserve">Ste alergik? Máte adrenalínové pero?</t>
  </si>
  <si>
    <t xml:space="preserve">To je len obyčajná alergia, však?</t>
  </si>
  <si>
    <t xml:space="preserve">zľahčíš anafylaxiu. Pýtaj sa na opuch a dýchanie.</t>
  </si>
  <si>
    <t xml:space="preserve">Pichal si inzulín alebo vzal lieky? Jedol?</t>
  </si>
  <si>
    <t xml:space="preserve">Pichli ste si inzulín alebo vzali lieky? Jedli ste?</t>
  </si>
  <si>
    <t xml:space="preserve">Áno, normálne.</t>
  </si>
  <si>
    <t xml:space="preserve">Vie prehĺtať? Napije sa?</t>
  </si>
  <si>
    <t xml:space="preserve">Viete prehĺtať? Napijete sa?</t>
  </si>
  <si>
    <t xml:space="preserve">Je smädný, zvracia, je zmätený?</t>
  </si>
  <si>
    <t xml:space="preserve">Ste smädný, zvraciate, ste zmätený?</t>
  </si>
  <si>
    <t xml:space="preserve">Stačí mu dať niečo sladké, však?</t>
  </si>
  <si>
    <t xml:space="preserve">Stačí si dať niečo sladké, však?</t>
  </si>
  <si>
    <t xml:space="preserve">pri poruche vedomia nesmie nič ústami – najprv zisti, či vie prehĺtať.</t>
  </si>
  <si>
    <t xml:space="preserve">Koľko je zranených?</t>
  </si>
  <si>
    <t xml:space="preserve">Jeden.</t>
  </si>
  <si>
    <t xml:space="preserve">Je niekto zakliesnený v aute?</t>
  </si>
  <si>
    <t xml:space="preserve">Horí niečo alebo vyteká z auta?</t>
  </si>
  <si>
    <t xml:space="preserve">Nie, nič.</t>
  </si>
  <si>
    <t xml:space="preserve">Ako sa to stalo, akou rýchlosťou?</t>
  </si>
  <si>
    <t xml:space="preserve">Hýbe rukami aj nohami, cíti ich?</t>
  </si>
  <si>
    <t xml:space="preserve">Hýbete rukami aj nohami, cítite ich?</t>
  </si>
  <si>
    <t xml:space="preserve">Kde presne je – v aute, na ceste, mimo cesty?</t>
  </si>
  <si>
    <t xml:space="preserve">Na kraji cesty.</t>
  </si>
  <si>
    <t xml:space="preserve">Ostal vodič na mieste?</t>
  </si>
  <si>
    <t xml:space="preserve">Nikto nie je vážne zranený, však?</t>
  </si>
  <si>
    <t xml:space="preserve">Asi nie…</t>
  </si>
  <si>
    <t xml:space="preserve">pri nehode rozhoduje počet zranených a mechanizmus, nie dojem volajúceho.</t>
  </si>
  <si>
    <t xml:space="preserve">Ako sa to stalo – z akej výšky spadol, čím sa zranil?</t>
  </si>
  <si>
    <t xml:space="preserve">Ako sa to stalo?</t>
  </si>
  <si>
    <t xml:space="preserve">Kde presne je zranený?</t>
  </si>
  <si>
    <t xml:space="preserve">Kde presne ste zranený?</t>
  </si>
  <si>
    <t xml:space="preserve">Nie je to zlomené, však?</t>
  </si>
  <si>
    <t xml:space="preserve">diagnózu urobí posádka – pýtaj sa na mechanizmus a hýbanie končatinami.</t>
  </si>
  <si>
    <t xml:space="preserve">Čo presne a koľko užil?</t>
  </si>
  <si>
    <t xml:space="preserve">Čo presne a koľko ste užili?</t>
  </si>
  <si>
    <t xml:space="preserve">Máte obal alebo zvyšky toho, čo užil?</t>
  </si>
  <si>
    <t xml:space="preserve">Áno, mám.</t>
  </si>
  <si>
    <t xml:space="preserve">Koľko má rokov a koľko váži?</t>
  </si>
  <si>
    <t xml:space="preserve">Urobil to úmyselne?</t>
  </si>
  <si>
    <t xml:space="preserve">Nie, omylom.</t>
  </si>
  <si>
    <t xml:space="preserve">Je tam viac ľudí, ktorým je zle?</t>
  </si>
  <si>
    <t xml:space="preserve">Nie, len jeden.</t>
  </si>
  <si>
    <t xml:space="preserve">To nebude nič vážne, však?</t>
  </si>
  <si>
    <t xml:space="preserve">pri otrave rozhoduje čo, koľko a kedy – pýtaj sa presne.</t>
  </si>
  <si>
    <t xml:space="preserve">Pije a močí normálne?</t>
  </si>
  <si>
    <t xml:space="preserve">Pijete a močíte normálne?</t>
  </si>
  <si>
    <t xml:space="preserve">Má vyrážky, stuhnutý krk, je spavý?</t>
  </si>
  <si>
    <t xml:space="preserve">To je len chrípka, však?</t>
  </si>
  <si>
    <t xml:space="preserve">prehliadneš varovné príznaky – stuhnutý krk, vyrážky, spavosť.</t>
  </si>
  <si>
    <t xml:space="preserve">V ktorom je týždni? Koľké dieťa to je?</t>
  </si>
  <si>
    <t xml:space="preserve">V ktorom ste týždni? Koľké dieťa to je?</t>
  </si>
  <si>
    <t xml:space="preserve">Odtiekla plodová voda? Krváca?</t>
  </si>
  <si>
    <t xml:space="preserve">Odtiekla vám plodová voda? Krvácate?</t>
  </si>
  <si>
    <t xml:space="preserve">Ako často sú kontrakcie?</t>
  </si>
  <si>
    <t xml:space="preserve">Ako často máte kontrakcie?</t>
  </si>
  <si>
    <t xml:space="preserve">Kontrakcie nemá. / pacient: Nemám.</t>
  </si>
  <si>
    <t xml:space="preserve">Má nutkanie tlačiť? Vidno hlavičku?</t>
  </si>
  <si>
    <t xml:space="preserve">Cíti pohyby dieťaťa?</t>
  </si>
  <si>
    <t xml:space="preserve">Cítite pohyby dieťaťa?</t>
  </si>
  <si>
    <t xml:space="preserve">Bolo tehotenstvo bez komplikácií?</t>
  </si>
  <si>
    <t xml:space="preserve">Môže byť tehotná?</t>
  </si>
  <si>
    <t xml:space="preserve">Môžete byť tehotná?</t>
  </si>
  <si>
    <t xml:space="preserve">Ešte to chvíľu potrvá, však?</t>
  </si>
  <si>
    <t xml:space="preserve">pôrod v behu sa podcení – pýtaj sa na kontrakcie a nutkanie tlačiť.</t>
  </si>
  <si>
    <t xml:space="preserve">Rada volajúcemu pri odkladnom hovore (O) – správne a chybné vety, povinná bezpečnostná veta</t>
  </si>
  <si>
    <t xml:space="preserve">Bezpečnostná veta (povinná)</t>
  </si>
  <si>
    <t xml:space="preserve">Správne rady</t>
  </si>
  <si>
    <t xml:space="preserve">Chybné rady (a prečo)</t>
  </si>
  <si>
    <t xml:space="preserve">Mdloba, ktorá prešla</t>
  </si>
  <si>
    <t xml:space="preserve">Keď sa to zopakuje alebo pribudne bolesť na hrudi či búšenie srdca, volajte hneď znova 155.</t>
  </si>
  <si>
    <t xml:space="preserve">• Posaďte sa alebo si ľahnite a pomaly sa napite vody.
• Ak sa to bude opakovať, objednajte sa k svojmu lekárovi.
• Dnes už nešoférujte.</t>
  </si>
  <si>
    <t xml:space="preserve">• Hneď vstaňte a prejdite sa, nech sa krv rozprúdi. – po mdlobe hrozí ďalší pád – najprv sedieť alebo ležať.
• Dajte si na posilnenie pohárik alkoholu. – alkohol rozširuje cievy a mdlobu môže zopakovať.</t>
  </si>
  <si>
    <t xml:space="preserve">Kašeľ a teplota</t>
  </si>
  <si>
    <t xml:space="preserve">Ak sa vám bude ťažko dýchať alebo pribudne bolesť na hrudi, volajte hneď znova 155.</t>
  </si>
  <si>
    <t xml:space="preserve">• Pite veľa tekutín a oddychujte.
• Ak to do pár dní neprejde, ozvite sa svojmu lekárovi alebo na 116117.</t>
  </si>
  <si>
    <t xml:space="preserve">• Choďte hneď na pohotovosť do nemocnice. – bez varovných príznakov patríte k všeobecnému lekárovi alebo na 116117.
• Vezmite si antibiotiká, ktoré máte doma. – operátor lieky neodporúča – o liečbe rozhodne lekár.</t>
  </si>
  <si>
    <t xml:space="preserve">Zastavené krvácanie z nosa</t>
  </si>
  <si>
    <t xml:space="preserve">Ak by sa krvácanie znova rozbehlo a nezastavilo sa do dvadsiatich minút, volajte hneď znova.</t>
  </si>
  <si>
    <t xml:space="preserve">• Nech dnes nefúka nos a nešúcha si ho.
• Ak sa to začne znova, nech sa predkloní a stlačí si mäkkú časť nosa na desať minút.</t>
  </si>
  <si>
    <t xml:space="preserve">• Nech si ľahne a zakloní hlavu. – pri zaklonení steká krv do hrdla – treba sa predkloniť.
• Napchajte mu do nosa vatu a nechajte ju tam do rána. – vata sa prilepí a pri vyťahovaní krvácanie obnoví.</t>
  </si>
  <si>
    <t xml:space="preserve">Dlhodobá bolesť chrbta</t>
  </si>
  <si>
    <t xml:space="preserve">Ak by ste nevedeli udržať moč či stolicu, prestali cítiť rozkrok alebo vám ochabli nohy, volajte hneď 155.</t>
  </si>
  <si>
    <t xml:space="preserve">• S dlhodobou bolesťou sa obráťte na svojho lekára alebo na 116117.
• Hýbte sa primerane, úplne sa pohybu nevyhýbajte.</t>
  </si>
  <si>
    <t xml:space="preserve">• Zoberte si dvojitú dávku liekov proti bolesti. – dávkovanie liekov operátor neurčuje – vyššia dávka škodí žalúdku a obličkám.
• Ľahnite si a týždeň nevstávajte. – úplný kľud na lôžku bolesť chrbta skôr predĺži.</t>
  </si>
  <si>
    <t xml:space="preserve">Operátor nerozhoduje o liekoch ani dávkach.</t>
  </si>
  <si>
    <t xml:space="preserve">Zabudnutá tabletka na tlak</t>
  </si>
  <si>
    <t xml:space="preserve">Ak pribudne bolesť na hrudi, porucha reči, slabosť ruky alebo silná bolesť hlavy, volajte hneď 155.</t>
  </si>
  <si>
    <t xml:space="preserve">• Postupujte podľa toho, ako vám lieky nastavil lekár. Ak si nie ste istá, zavolajte mu alebo na 116117.
• O hodinu si tlak premerajte v pokoji, v sede.</t>
  </si>
  <si>
    <t xml:space="preserve">• Vezmite si dve tabletky naraz, nech to dobehnete. – dávkovanie liekov operátor neurčuje – dvojitá dávka môže tlak zraziť príliš.
• Merajte si tlak každých päť minút. – časté meranie len znepokojuje – tlak sa meria v pokoji, raz za čas.</t>
  </si>
  <si>
    <t xml:space="preserve">Epileptik po záchvate</t>
  </si>
  <si>
    <t xml:space="preserve">Ak príde ďalší záchvat, záchvat bude trvať viac ako päť minút alebo sa nepreberie, volajte hneď znova.</t>
  </si>
  <si>
    <t xml:space="preserve">• Nechajte ho ležať na boku, kým sa úplne nepreberie.
• Ostaňte pri ňom, kým nie je úplne pri sebe.</t>
  </si>
  <si>
    <t xml:space="preserve">• Dajte mu hneď vypiť pohár vody. – kým sa úplne nepreberie, môže vodu vdýchnuť.
• Dajte mu niečo do úst, aby si nepohrýzol jazyk. – do úst sa nikdy nič nevkladá – hrozí udusenie a zranenie.</t>
  </si>
  <si>
    <t xml:space="preserve">Úzkosť</t>
  </si>
  <si>
    <t xml:space="preserve">Ak by ste začali myslieť na to, že si ublížite, volajte hneď znova 155.</t>
  </si>
  <si>
    <t xml:space="preserve">• Na linke psychologickej pomoci sú nonstop a môžete tam hovoriť, ako dlho potrebujete.
• Skúste pomaly dýchať – nádych na štyri, výdych na šesť.
• Zavolajte sestre alebo niekomu blízkemu, nech nie ste sám.</t>
  </si>
  <si>
    <t xml:space="preserve">• Dajte si na spanie niečo silné z lekárničky. – operátor lieky neodporúča – kombinácia liekov môže byť nebezpečná.</t>
  </si>
  <si>
    <t xml:space="preserve">Štípnutie včelou</t>
  </si>
  <si>
    <t xml:space="preserve">Ak mu opuchne tvár, pery alebo hrdlo, bude sa mu ťažko dýchať alebo mu bude zle, volajte hneď 155.</t>
  </si>
  <si>
    <t xml:space="preserve">• Ak je žihadlo v koži, vyškriabte ho nechtom alebo kartou.
• Priložte na miesto studený obklad.</t>
  </si>
  <si>
    <t xml:space="preserve">• Žihadlo vytiahnite prstami za vačok. – stlačením vačku sa do rany vytlačí ďalší jed.
• Miesto štípnutia narežte nožíkom, nech jed vytečie. – zbytočne poraníte kožu a hrozí infekcia.</t>
  </si>
  <si>
    <t xml:space="preserve">Ak budete veľmi smädný, začnete zvracať, budete zmätený alebo ospalý, volajte hneď 155.</t>
  </si>
  <si>
    <t xml:space="preserve">• Postupujte podľa plánu od diabetológa. Ak si nie ste istý, zavolajte mu alebo na 116117.
• Pite vodu a o hodinu si cukor premerajte znova.</t>
  </si>
  <si>
    <t xml:space="preserve">• Pichnite si naraz dvojitú dávku inzulínu. – dávku inzulínu operátor neurčuje – dvojitá dávka môže spôsobiť nebezpečne nízky cukor.
• Vypite niečo sladké, nech sa cukor vyrovná. – pri vysokom cukre ho sladké nápoje ešte zvýšia.</t>
  </si>
  <si>
    <t xml:space="preserve">Odreté koleno</t>
  </si>
  <si>
    <t xml:space="preserve">Ak by rana silno krvácala, koleno opuchlo alebo by na nohu nevedela stúpiť, volajte znova.</t>
  </si>
  <si>
    <t xml:space="preserve">• Ranu opláchnite čistou vodou.
• Prekryte ju čistou náplasťou alebo obväzom.</t>
  </si>
  <si>
    <t xml:space="preserve">• Ranu vydezinfikujte alkoholom priamo z fľaše. – alkohol v rane páli a poškodzuje tkanivo – stačí čistá voda.
• Ranu zalepte izolepou, nech sa nešpiní. – izolepa nie je sterilná a rana sa pod ňou zapári.</t>
  </si>
  <si>
    <t xml:space="preserve">Horúčka u dieťaťa</t>
  </si>
  <si>
    <t xml:space="preserve">Ak bude spavý, prestane piť, objavia sa vyrážky, ktoré pod pohárom nezblednú, alebo stuhnutý krk, volajte hneď 155.</t>
  </si>
  <si>
    <t xml:space="preserve">• Ponúkajte mu často piť a nechajte ho oddychovať.
• Ak horúčka trvá viac ako tri dni, ozvite sa detskému lekárovi alebo na 116117.</t>
  </si>
  <si>
    <t xml:space="preserve">• Zabaľte ho do periny, nech sa vypotí. – dieťa s horúčkou sa nemá prehrievať – teplota ešte stúpne.
• Dajte mu napiť piva, to zrazí horúčku. – alkohol je pre dieťa jedovatý.</t>
  </si>
  <si>
    <t xml:space="preserve">Zjedená tabletka</t>
  </si>
  <si>
    <t xml:space="preserve">Ak bude spavé, začne zvracať alebo sa bude správať inak ako zvyčajne, volajte hneď 155.</t>
  </si>
  <si>
    <t xml:space="preserve">• Pripravte si obal od lieku a hmotnosť dieťaťa – toxikológ sa na to opýta.
• Lieky odložte z dosahu detí.</t>
  </si>
  <si>
    <t xml:space="preserve">• Vyvolajte mu zvracanie prstom. – zvracanie sa nevyvoláva – dieťa môže vdýchnuť zvratky.
• Dajte mu vypiť mlieko, aby liek zriedilo. – mlieko pri otrave nepomáha a niektoré lieky sa s ním vstrebú rýchlejšie.</t>
  </si>
  <si>
    <t xml:space="preserve">Menštruačné bolesti</t>
  </si>
  <si>
    <t xml:space="preserve">Ak budete silno krvácať, bude sa vám točiť hlava alebo bolesť bude neznesiteľná, volajte hneď 155.</t>
  </si>
  <si>
    <t xml:space="preserve">• Priložte si na brucho teplý obklad.
• Ak sa to opakuje každý mesiac, poraďte sa s gynekológom alebo na 116117.</t>
  </si>
  <si>
    <t xml:space="preserve">• Zoberte si ešte tri tabletky, nech to zaberie. – dávkovanie liekov operátor neurčuje – hrozí predávkovanie.
• Vypite pohárik alkoholu, uvoľní to kŕče. – alkohol s liekmi proti bolesti škodí žalúdku a pečeni.</t>
  </si>
  <si>
    <t xml:space="preserve">TANR – telefonicky asistovaná resuscitácia v hre</t>
  </si>
  <si>
    <t xml:space="preserve">Krok</t>
  </si>
  <si>
    <t xml:space="preserve">Správny pokyn</t>
  </si>
  <si>
    <t xml:space="preserve">Chybná možnosť</t>
  </si>
  <si>
    <t xml:space="preserve">Prečo je chybná</t>
  </si>
  <si>
    <t xml:space="preserve">dospelý – 1. pokyn</t>
  </si>
  <si>
    <t xml:space="preserve">Zapnite reproduktor a dajte telefón vedľa seba na zem.</t>
  </si>
  <si>
    <t xml:space="preserve">Držte telefón pri uchu a stláčajte jednou rukou.</t>
  </si>
  <si>
    <t xml:space="preserve">s telefónom pri uchu sa nedá stláčať oboma rukami – reproduktor uvoľní ruky.</t>
  </si>
  <si>
    <t xml:space="preserve">Doplnené podľa skriptu.</t>
  </si>
  <si>
    <t xml:space="preserve">dospelý – 2. pokyn</t>
  </si>
  <si>
    <t xml:space="preserve">Položte ho na chrbát na zem, na tvrdú podložku.</t>
  </si>
  <si>
    <t xml:space="preserve">Posaďte ho a podoprite mu hlavu.</t>
  </si>
  <si>
    <t xml:space="preserve">pri zástave sa stláča len v ľahu na tvrdej podložke.</t>
  </si>
  <si>
    <t xml:space="preserve">Sedí so skriptom.</t>
  </si>
  <si>
    <t xml:space="preserve">dospelý – 3. pokyn</t>
  </si>
  <si>
    <t xml:space="preserve">Kľaknite si k nemu, dajte dlane na stred hrudníka, jednu na druhú.</t>
  </si>
  <si>
    <t xml:space="preserve">Najprv mu hľadajte pulz na krku.</t>
  </si>
  <si>
    <t xml:space="preserve">hľadanie pulzu laika len zdržiava – keď nedýcha normálne, stláča sa hneď.</t>
  </si>
  <si>
    <t xml:space="preserve">dospelý – 4. pokyn</t>
  </si>
  <si>
    <t xml:space="preserve">Stláčajte silno a rýchlo, päť až šesť centimetrov. Počítajte so mnou nahlas.</t>
  </si>
  <si>
    <t xml:space="preserve">Najprv mu dvakrát vdýchnite do úst.</t>
  </si>
  <si>
    <t xml:space="preserve">pri telefonickej resuscitácii dospelého laik iba stláča – vdychy ho zdržia.</t>
  </si>
  <si>
    <t xml:space="preserve">Sedí. Hĺbka: skript „asi 5 cm“, hra „5 až 6 cm“ (ERC 5–6 cm).</t>
  </si>
  <si>
    <t xml:space="preserve">utopený – 1. pokyn</t>
  </si>
  <si>
    <t xml:space="preserve">utopený – 2. pokyn</t>
  </si>
  <si>
    <t xml:space="preserve">Najprv ho otočte hore nohami, nech z neho vytečie voda.</t>
  </si>
  <si>
    <t xml:space="preserve">vylievanie vody stráca drahé minúty – treba hneď oživovať.</t>
  </si>
  <si>
    <t xml:space="preserve">utopený – 3. pokyn</t>
  </si>
  <si>
    <t xml:space="preserve">utopený – 4. pokyn</t>
  </si>
  <si>
    <t xml:space="preserve">Ak viete dýchať z úst do úst, najprv 5-krát vdýchnite, potom 30 stlačení a 2 vdychy. Ak nie, len silno a rýchlo stláčajte.</t>
  </si>
  <si>
    <t xml:space="preserve">Len stláčajte, vdychy pri utopenom nikdy nerobte.</t>
  </si>
  <si>
    <t xml:space="preserve">pri utopení chýba kyslík – kto vie dýchať z úst do úst, má začať 5 vdychmi.</t>
  </si>
  <si>
    <t xml:space="preserve">Podľa ERC (utopený: 5 úvodných vdychov).</t>
  </si>
  <si>
    <t xml:space="preserve">dojča – 1. pokyn</t>
  </si>
  <si>
    <t xml:space="preserve">dojča – 2. pokyn</t>
  </si>
  <si>
    <t xml:space="preserve">Položte ho na chrbát na stôl alebo na zem.</t>
  </si>
  <si>
    <t xml:space="preserve">Držte ho zvislo a potľapkajte ho po chrbte.</t>
  </si>
  <si>
    <t xml:space="preserve">dojča bez dychu treba hneď oživovať v ľahu na tvrdej podložke.</t>
  </si>
  <si>
    <t xml:space="preserve">dojča – 3. pokyn</t>
  </si>
  <si>
    <t xml:space="preserve">Dajte dva prsty do stredu hrudníka, tesne pod spojnicu bradaviek.</t>
  </si>
  <si>
    <t xml:space="preserve">Tlačte dlaňou celou váhou.</t>
  </si>
  <si>
    <t xml:space="preserve">dojča má krehký hrudník – stláča sa dvoma prstami asi do hĺbky 4 cm.</t>
  </si>
  <si>
    <t xml:space="preserve">Podľa skriptu (dojča: dva prsty, ~4 cm, 5 vdychov, 15 : 2).</t>
  </si>
  <si>
    <t xml:space="preserve">dojča – 4. pokyn</t>
  </si>
  <si>
    <t xml:space="preserve">Ak viete, najprv 5-krát jemne vdýchnite do úst aj nosa naraz, potom 15 stlačení a 2 vdychy. Ak nie, len stláčajte asi 4 cm, rýchlo.</t>
  </si>
  <si>
    <t xml:space="preserve">Zatraste ním, nech sa preberie.</t>
  </si>
  <si>
    <t xml:space="preserve">trasenie dojčaťa je nebezpečné a stráca čas – treba hneď stláčať.</t>
  </si>
  <si>
    <t xml:space="preserve">Tempo</t>
  </si>
  <si>
    <t xml:space="preserve">Operátor udáva tempo ťukaním: 100 až 120 stlačení za minútu (asi dvakrát za sekundu), hra meria tempo z 8 intervalov.</t>
  </si>
  <si>
    <t xml:space="preserve">Sedí so skriptom („dvakrát za sekundu“).</t>
  </si>
  <si>
    <t xml:space="preserve">Čas</t>
  </si>
  <si>
    <t xml:space="preserve">Hodnotí sa čas od prijatia hovoru po prvé stlačenie: do 60 s výborne, do 90 s dobre, do 120 s slabšie.</t>
  </si>
  <si>
    <t xml:space="preserve">Overiť, či sú hranice 60/90/120 s rozumné pre výučbu.</t>
  </si>
  <si>
    <t xml:space="preserve">Výsledok</t>
  </si>
  <si>
    <t xml:space="preserve">Šanca na prežitie klesá s každou minútou bez stláčania (od kolapsu); so stláčaním klesá pomalšie, podľa kvality tempa. Bez TANR pacient po 8 – 10 min väčšinou neprežije.</t>
  </si>
  <si>
    <t xml:space="preserve">Zjednodušený model; podľa OS každá minúta oneskorenia znižuje šancu asi o 10 %.</t>
  </si>
  <si>
    <t xml:space="preserve">Kedy</t>
  </si>
  <si>
    <t xml:space="preserve">TANR len pri bezvedomí s nenormálnym dýchaním (aj lapavé dychy). Pri dýchajúcom pacientovi je spustenie TANR chyba.</t>
  </si>
  <si>
    <t xml:space="preserve">Rozsah</t>
  </si>
  <si>
    <t xml:space="preserve">TANR dospelého, utopeného a dojčaťa. Staršie dieťa zatiaľ nie je.</t>
  </si>
  <si>
    <t xml:space="preserve">Doplnené dojča a utopený; staršie dieťa (jedna dlaň, 15 : 2) pribudne s ďalšou situáciou.</t>
  </si>
  <si>
    <t xml:space="preserve">Ďalšie pokyny pri zástave (popri stláčaní)</t>
  </si>
  <si>
    <t xml:space="preserve">Pokyn</t>
  </si>
  <si>
    <t xml:space="preserve">Text</t>
  </si>
  <si>
    <t xml:space="preserve">Správny?</t>
  </si>
  <si>
    <t xml:space="preserve">Prečo je chybný</t>
  </si>
  <si>
    <t xml:space="preserve">dospelý – 1.</t>
  </si>
  <si>
    <t xml:space="preserve">Pošlite niekoho po defibrilátor (AED), ak je nablízku, a keď ho prinesie, zapnite ho a robte, čo hovorí.</t>
  </si>
  <si>
    <t xml:space="preserve">áno</t>
  </si>
  <si>
    <t xml:space="preserve">Sedí so skriptom (AED).</t>
  </si>
  <si>
    <t xml:space="preserve">dospelý – 2.</t>
  </si>
  <si>
    <t xml:space="preserve">Nech niekto otvorí dvere a čaká na záchranku pred domom.</t>
  </si>
  <si>
    <t xml:space="preserve">dospelý – 3.</t>
  </si>
  <si>
    <t xml:space="preserve">Ak je vás viac, každé dve minúty sa pri stláčaní vystriedajte.</t>
  </si>
  <si>
    <t xml:space="preserve">dospelý – 4.</t>
  </si>
  <si>
    <t xml:space="preserve">Prestaňte na chvíľu stláčať a skúste mu nahmatať pulz.</t>
  </si>
  <si>
    <t xml:space="preserve">nie (zámerne chybný)</t>
  </si>
  <si>
    <t xml:space="preserve">každé prerušenie stláčania znižuje šancu na prežitie – stláča sa bez prestávky, kým nepríde posádka.</t>
  </si>
  <si>
    <t xml:space="preserve">dospelý – 5.</t>
  </si>
  <si>
    <t xml:space="preserve">Dajte mu napiť vody, nech sa preberie.</t>
  </si>
  <si>
    <t xml:space="preserve">človek bez vedomia nevie prehĺtať a voda mu zatečie do dýchacích ciest.</t>
  </si>
  <si>
    <t xml:space="preserve">dojča – 1.</t>
  </si>
  <si>
    <t xml:space="preserve">dojča – 2.</t>
  </si>
  <si>
    <t xml:space="preserve">Neprestávajte, kým nepríde posádka, aj keď sa vám zdá, že to nepomáha.</t>
  </si>
  <si>
    <t xml:space="preserve">dojča – 3.</t>
  </si>
  <si>
    <t xml:space="preserve">Zatraste ním, aby sa prebral.</t>
  </si>
  <si>
    <t xml:space="preserve">trasenie dojčaťa je nebezpečné a stráca čas – treba hneď stláčať a vdychovať.</t>
  </si>
  <si>
    <t xml:space="preserve">dojča – 4.</t>
  </si>
  <si>
    <t xml:space="preserve">Dajte mu napiť, nech sa preberie.</t>
  </si>
  <si>
    <t xml:space="preserve">dojča bez vedomia nevie prehĺtať – voda mu zatečie do dýchacích ciest.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</si>
</sst>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4B8"/>
        <bgColor rgb="FFFFE0B8"/>
      </patternFill>
    </fill>
    <fill>
      <patternFill patternType="solid">
        <fgColor rgb="FF1F2A44"/>
        <bgColor rgb="FF003366"/>
      </patternFill>
    </fill>
    <fill>
      <patternFill patternType="solid">
        <fgColor rgb="FFF8C9CE"/>
        <bgColor rgb="FFFFD9B3"/>
      </patternFill>
    </fill>
    <fill>
      <patternFill patternType="solid">
        <fgColor rgb="FFCFE3FA"/>
        <bgColor rgb="FFCDEFD9"/>
      </patternFill>
    </fill>
    <fill>
      <patternFill patternType="solid">
        <fgColor rgb="FFFFE0B8"/>
        <bgColor rgb="FFFFD9B3"/>
      </patternFill>
    </fill>
    <fill>
      <patternFill patternType="solid">
        <fgColor rgb="FFCDEFD9"/>
        <bgColor rgb="FFCFE3FA"/>
      </patternFill>
    </fill>
    <fill>
      <patternFill patternType="solid">
        <fgColor rgb="FFFFD9B3"/>
        <bgColor rgb="FFFFE0B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8CED8"/>
      </left>
      <right style="thin">
        <color rgb="FFC8CED8"/>
      </right>
      <top style="thin">
        <color rgb="FFC8CED8"/>
      </top>
      <bottom style="thin">
        <color rgb="FFC8CED8"/>
      </bottom>
      <diagonal/>
    </border>
    <border diagonalUp="false" diagonalDown="false">
      <left style="thin">
        <color rgb="FFC8CED8"/>
      </left>
      <right style="thin">
        <color rgb="FFC8CED8"/>
      </right>
      <top style="thin">
        <color rgb="FFC8CED8"/>
      </top>
      <bottom style="medium">
        <color rgb="FF1F2A4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DEFD9"/>
          <bgColor rgb="FF000000"/>
        </patternFill>
      </fill>
    </dxf>
    <dxf>
      <fill>
        <patternFill patternType="solid">
          <fgColor rgb="FFCFE3FA"/>
          <bgColor rgb="FF000000"/>
        </patternFill>
      </fill>
    </dxf>
    <dxf>
      <fill>
        <patternFill patternType="solid">
          <fgColor rgb="FFF8C9CE"/>
          <bgColor rgb="FF000000"/>
        </patternFill>
      </fill>
    </dxf>
    <dxf>
      <fill>
        <patternFill patternType="solid">
          <fgColor rgb="FFFFE0B8"/>
          <bgColor rgb="FF000000"/>
        </patternFill>
      </fill>
    </dxf>
    <dxf>
      <fill>
        <patternFill patternType="solid">
          <fgColor rgb="FFFFF4B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8C9CE"/>
      <rgbColor rgb="FF808080"/>
      <rgbColor rgb="FF9999FF"/>
      <rgbColor rgb="FF993366"/>
      <rgbColor rgb="FFFFF4B8"/>
      <rgbColor rgb="FFCFE3FA"/>
      <rgbColor rgb="FF660066"/>
      <rgbColor rgb="FFFF8080"/>
      <rgbColor rgb="FF0066CC"/>
      <rgbColor rgb="FFC8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DEFD9"/>
      <rgbColor rgb="FFFFE0B8"/>
      <rgbColor rgb="FF99CCFF"/>
      <rgbColor rgb="FFFF99CC"/>
      <rgbColor rgb="FFCC99FF"/>
      <rgbColor rgb="FFFFD9B3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3.5" hidden="false" customHeight="true" outlineLevel="0" collapsed="false">
      <c r="A4" s="3" t="s">
        <v>2</v>
      </c>
      <c r="B4" s="4" t="s">
        <v>3</v>
      </c>
    </row>
    <row r="5" customFormat="false" ht="30" hidden="false" customHeight="true" outlineLevel="0" collapsed="false">
      <c r="A5" s="3" t="s">
        <v>4</v>
      </c>
      <c r="B5" s="4" t="s">
        <v>5</v>
      </c>
    </row>
    <row r="6" customFormat="false" ht="43.5" hidden="false" customHeight="true" outlineLevel="0" collapsed="false">
      <c r="A6" s="3" t="s">
        <v>6</v>
      </c>
      <c r="B6" s="4" t="s">
        <v>7</v>
      </c>
    </row>
    <row r="7" customFormat="false" ht="43.5" hidden="false" customHeight="true" outlineLevel="0" collapsed="false">
      <c r="A7" s="3" t="s">
        <v>8</v>
      </c>
      <c r="B7" s="4" t="s">
        <v>9</v>
      </c>
    </row>
    <row r="8" customFormat="false" ht="43.5" hidden="false" customHeight="true" outlineLevel="0" collapsed="false">
      <c r="A8" s="3" t="s">
        <v>10</v>
      </c>
      <c r="B8" s="4" t="s">
        <v>11</v>
      </c>
    </row>
    <row r="9" customFormat="false" ht="43.5" hidden="false" customHeight="true" outlineLevel="0" collapsed="false">
      <c r="A9" s="3" t="s">
        <v>12</v>
      </c>
      <c r="B9" s="4" t="s">
        <v>13</v>
      </c>
    </row>
    <row r="10" customFormat="false" ht="43.5" hidden="false" customHeight="true" outlineLevel="0" collapsed="false">
      <c r="A10" s="3" t="s">
        <v>14</v>
      </c>
      <c r="B10" s="4" t="s">
        <v>15</v>
      </c>
    </row>
    <row r="11" customFormat="false" ht="43.5" hidden="false" customHeight="true" outlineLevel="0" collapsed="false">
      <c r="A11" s="3" t="s">
        <v>16</v>
      </c>
      <c r="B11" s="4" t="s">
        <v>17</v>
      </c>
    </row>
    <row r="13" customFormat="false" ht="15" hidden="false" customHeight="false" outlineLevel="0" collapsed="false">
      <c r="A13" s="5" t="s">
        <v>18</v>
      </c>
    </row>
    <row r="14" customFormat="false" ht="15" hidden="false" customHeight="false" outlineLevel="0" collapsed="false">
      <c r="A14" s="3" t="s">
        <v>19</v>
      </c>
      <c r="B14" s="6" t="s">
        <v>20</v>
      </c>
    </row>
    <row r="15" customFormat="false" ht="15" hidden="false" customHeight="false" outlineLevel="0" collapsed="false">
      <c r="A15" s="3" t="s">
        <v>21</v>
      </c>
      <c r="B15" s="7" t="s">
        <v>22</v>
      </c>
    </row>
    <row r="16" customFormat="false" ht="15" hidden="false" customHeight="false" outlineLevel="0" collapsed="false">
      <c r="A16" s="3" t="s">
        <v>23</v>
      </c>
      <c r="B16" s="7" t="s">
        <v>24</v>
      </c>
    </row>
    <row r="18" customFormat="false" ht="15" hidden="false" customHeight="false" outlineLevel="0" collapsed="false">
      <c r="A18" s="5" t="s">
        <v>25</v>
      </c>
    </row>
    <row r="19" customFormat="false" ht="15" hidden="false" customHeight="false" outlineLevel="0" collapsed="false">
      <c r="A19" s="6" t="s">
        <v>26</v>
      </c>
      <c r="B19" s="8" t="n">
        <f aca="false">COUNTA(Situácie!C3:C200)</f>
        <v>87</v>
      </c>
    </row>
    <row r="20" customFormat="false" ht="15" hidden="false" customHeight="false" outlineLevel="0" collapsed="false">
      <c r="A20" s="6" t="s">
        <v>27</v>
      </c>
      <c r="B20" s="8" t="n">
        <f aca="false">COUNTA(Situácie!T3:T200)</f>
        <v>0</v>
      </c>
    </row>
    <row r="21" customFormat="false" ht="15" hidden="false" customHeight="false" outlineLevel="0" collapsed="false">
      <c r="A21" s="6" t="s">
        <v>28</v>
      </c>
      <c r="B21" s="8" t="n">
        <f aca="false">COUNTIF(Situácie!T3:T200,"nie")+COUNTIF(Situácie!T3:T200,"čiastočne")</f>
        <v>0</v>
      </c>
    </row>
    <row r="22" customFormat="false" ht="15" hidden="false" customHeight="false" outlineLevel="0" collapsed="false">
      <c r="A22" s="6" t="s">
        <v>29</v>
      </c>
      <c r="B22" s="8" t="n">
        <f aca="false">COUNTIF(Situácie!S3:S200,"*⚠*")</f>
        <v>0</v>
      </c>
    </row>
    <row r="23" customFormat="false" ht="15" hidden="false" customHeight="false" outlineLevel="0" collapsed="false">
      <c r="A23" s="6" t="s">
        <v>30</v>
      </c>
      <c r="B23" s="8" t="n">
        <f aca="false">COUNTIF('Stromy K-N-M-O'!F3:F400,"nie")+COUNTIF('Stromy K-N-M-O'!F3:F400,"čiastočne")</f>
        <v>0</v>
      </c>
    </row>
    <row r="24" customFormat="false" ht="15" hidden="false" customHeight="false" outlineLevel="0" collapsed="false">
      <c r="A24" s="6" t="s">
        <v>31</v>
      </c>
      <c r="B24" s="8" t="n">
        <f aca="false">COUNTIF(TANR!F3:F60,"nie")+COUNTIF(TANR!F3:F60,"čiastočne")</f>
        <v>0</v>
      </c>
    </row>
    <row r="25" customFormat="false" ht="15" hidden="false" customHeight="false" outlineLevel="0" collapsed="false">
      <c r="A25" s="6" t="s">
        <v>32</v>
      </c>
      <c r="B25" s="8" t="n">
        <f aca="false">COUNTIF('Otázky k problému'!G3:G300,"nie")+COUNTIF('Otázky k problému'!G3:G300,"čiastočne")</f>
        <v>0</v>
      </c>
    </row>
    <row r="26" customFormat="false" ht="15" hidden="false" customHeight="false" outlineLevel="0" collapsed="false">
      <c r="A26" s="6" t="s">
        <v>33</v>
      </c>
      <c r="B26" s="8" t="n">
        <f aca="false">COUNTIF('Rady pri O'!G3:G100,"nie")+COUNTIF('Rady pri O'!G3:G100,"čiastočne")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34"/>
    <col collapsed="false" customWidth="true" hidden="false" outlineLevel="0" max="7" min="6" style="0" width="24"/>
    <col collapsed="false" customWidth="true" hidden="false" outlineLevel="0" max="9" min="8" style="0" width="22"/>
    <col collapsed="false" customWidth="true" hidden="false" outlineLevel="0" max="10" min="10" style="0" width="20"/>
    <col collapsed="false" customWidth="true" hidden="false" outlineLevel="0" max="11" min="11" style="0" width="26"/>
    <col collapsed="false" customWidth="true" hidden="false" outlineLevel="0" max="12" min="12" style="0" width="34"/>
    <col collapsed="false" customWidth="true" hidden="false" outlineLevel="0" max="13" min="13" style="0" width="14"/>
    <col collapsed="false" customWidth="true" hidden="false" outlineLevel="0" max="14" min="14" style="0" width="18"/>
    <col collapsed="false" customWidth="true" hidden="false" outlineLevel="0" max="15" min="15" style="0" width="14"/>
    <col collapsed="false" customWidth="true" hidden="false" outlineLevel="0" max="16" min="16" style="0" width="22"/>
    <col collapsed="false" customWidth="true" hidden="false" outlineLevel="0" max="17" min="17" style="0" width="42"/>
    <col collapsed="false" customWidth="true" hidden="false" outlineLevel="0" max="18" min="18" style="0" width="46"/>
    <col collapsed="false" customWidth="true" hidden="false" outlineLevel="0" max="19" min="19" style="0" width="40"/>
    <col collapsed="false" customWidth="true" hidden="false" outlineLevel="0" max="20" min="20" style="0" width="11"/>
    <col collapsed="false" customWidth="true" hidden="false" outlineLevel="0" max="21" min="21" style="0" width="40"/>
  </cols>
  <sheetData>
    <row r="1" customFormat="false" ht="15" hidden="false" customHeight="false" outlineLevel="0" collapsed="false">
      <c r="A1" s="5" t="s">
        <v>34</v>
      </c>
    </row>
    <row r="2" customFormat="false" ht="31.5" hidden="false" customHeight="true" outlineLevel="0" collapsed="false">
      <c r="A2" s="9" t="s">
        <v>35</v>
      </c>
      <c r="B2" s="9" t="s">
        <v>36</v>
      </c>
      <c r="C2" s="9" t="s">
        <v>19</v>
      </c>
      <c r="D2" s="9" t="s">
        <v>37</v>
      </c>
      <c r="E2" s="9" t="s">
        <v>38</v>
      </c>
      <c r="F2" s="9" t="s">
        <v>39</v>
      </c>
      <c r="G2" s="9" t="s">
        <v>40</v>
      </c>
      <c r="H2" s="9" t="s">
        <v>41</v>
      </c>
      <c r="I2" s="9" t="s">
        <v>42</v>
      </c>
      <c r="J2" s="9" t="s">
        <v>43</v>
      </c>
      <c r="K2" s="9" t="s">
        <v>44</v>
      </c>
      <c r="L2" s="9" t="s">
        <v>45</v>
      </c>
      <c r="M2" s="9" t="s">
        <v>14</v>
      </c>
      <c r="N2" s="9" t="s">
        <v>46</v>
      </c>
      <c r="O2" s="9" t="s">
        <v>47</v>
      </c>
      <c r="P2" s="9" t="s">
        <v>48</v>
      </c>
      <c r="Q2" s="9" t="s">
        <v>49</v>
      </c>
      <c r="R2" s="9" t="s">
        <v>50</v>
      </c>
      <c r="S2" s="9" t="s">
        <v>6</v>
      </c>
      <c r="T2" s="9" t="s">
        <v>21</v>
      </c>
      <c r="U2" s="9" t="s">
        <v>23</v>
      </c>
    </row>
    <row r="3" customFormat="false" ht="240" hidden="false" customHeight="true" outlineLevel="0" collapsed="false">
      <c r="A3" s="10" t="n">
        <v>1</v>
      </c>
      <c r="B3" s="10" t="s">
        <v>51</v>
      </c>
      <c r="C3" s="10" t="s">
        <v>52</v>
      </c>
      <c r="D3" s="11" t="s">
        <v>53</v>
      </c>
      <c r="E3" s="10" t="s">
        <v>54</v>
      </c>
      <c r="F3" s="10" t="s">
        <v>55</v>
      </c>
      <c r="G3" s="10" t="s">
        <v>56</v>
      </c>
      <c r="H3" s="10" t="s">
        <v>57</v>
      </c>
      <c r="I3" s="10" t="s">
        <v>58</v>
      </c>
      <c r="J3" s="10" t="s">
        <v>59</v>
      </c>
      <c r="K3" s="10" t="s">
        <v>60</v>
      </c>
      <c r="L3" s="10" t="s">
        <v>61</v>
      </c>
      <c r="M3" s="10" t="s">
        <v>62</v>
      </c>
      <c r="N3" s="10" t="s">
        <v>62</v>
      </c>
      <c r="O3" s="10" t="s">
        <v>63</v>
      </c>
      <c r="P3" s="10" t="s">
        <v>62</v>
      </c>
      <c r="Q3" s="10" t="s">
        <v>64</v>
      </c>
      <c r="R3" s="10" t="s">
        <v>65</v>
      </c>
      <c r="S3" s="10" t="s">
        <v>66</v>
      </c>
      <c r="T3" s="12"/>
      <c r="U3" s="12"/>
    </row>
    <row r="4" customFormat="false" ht="240" hidden="false" customHeight="true" outlineLevel="0" collapsed="false">
      <c r="A4" s="10" t="n">
        <v>2</v>
      </c>
      <c r="B4" s="10" t="s">
        <v>51</v>
      </c>
      <c r="C4" s="10" t="s">
        <v>67</v>
      </c>
      <c r="D4" s="11" t="s">
        <v>53</v>
      </c>
      <c r="E4" s="10" t="s">
        <v>68</v>
      </c>
      <c r="F4" s="10" t="s">
        <v>69</v>
      </c>
      <c r="G4" s="10" t="s">
        <v>70</v>
      </c>
      <c r="H4" s="10" t="s">
        <v>71</v>
      </c>
      <c r="I4" s="10" t="s">
        <v>72</v>
      </c>
      <c r="J4" s="10" t="s">
        <v>71</v>
      </c>
      <c r="K4" s="10" t="s">
        <v>73</v>
      </c>
      <c r="L4" s="10" t="s">
        <v>74</v>
      </c>
      <c r="M4" s="10" t="s">
        <v>62</v>
      </c>
      <c r="N4" s="10" t="s">
        <v>62</v>
      </c>
      <c r="O4" s="10" t="s">
        <v>75</v>
      </c>
      <c r="P4" s="10" t="s">
        <v>62</v>
      </c>
      <c r="Q4" s="10" t="s">
        <v>76</v>
      </c>
      <c r="R4" s="10" t="s">
        <v>77</v>
      </c>
      <c r="S4" s="10" t="s">
        <v>78</v>
      </c>
      <c r="T4" s="12"/>
      <c r="U4" s="12"/>
    </row>
    <row r="5" customFormat="false" ht="240" hidden="false" customHeight="true" outlineLevel="0" collapsed="false">
      <c r="A5" s="10" t="n">
        <v>3</v>
      </c>
      <c r="B5" s="10" t="s">
        <v>79</v>
      </c>
      <c r="C5" s="10" t="s">
        <v>80</v>
      </c>
      <c r="D5" s="11" t="s">
        <v>53</v>
      </c>
      <c r="E5" s="10" t="s">
        <v>81</v>
      </c>
      <c r="F5" s="10" t="s">
        <v>82</v>
      </c>
      <c r="G5" s="10" t="s">
        <v>83</v>
      </c>
      <c r="H5" s="10" t="s">
        <v>84</v>
      </c>
      <c r="I5" s="10" t="s">
        <v>85</v>
      </c>
      <c r="J5" s="10" t="s">
        <v>59</v>
      </c>
      <c r="K5" s="10" t="s">
        <v>86</v>
      </c>
      <c r="L5" s="10" t="s">
        <v>87</v>
      </c>
      <c r="M5" s="10" t="s">
        <v>88</v>
      </c>
      <c r="N5" s="10" t="s">
        <v>62</v>
      </c>
      <c r="O5" s="10" t="s">
        <v>89</v>
      </c>
      <c r="P5" s="10" t="s">
        <v>62</v>
      </c>
      <c r="Q5" s="10" t="s">
        <v>76</v>
      </c>
      <c r="R5" s="10" t="s">
        <v>77</v>
      </c>
      <c r="S5" s="10" t="s">
        <v>90</v>
      </c>
      <c r="T5" s="12"/>
      <c r="U5" s="12"/>
    </row>
    <row r="6" customFormat="false" ht="237.75" hidden="false" customHeight="true" outlineLevel="0" collapsed="false">
      <c r="A6" s="10" t="n">
        <v>4</v>
      </c>
      <c r="B6" s="10" t="s">
        <v>51</v>
      </c>
      <c r="C6" s="10" t="s">
        <v>91</v>
      </c>
      <c r="D6" s="11" t="s">
        <v>53</v>
      </c>
      <c r="E6" s="10" t="s">
        <v>92</v>
      </c>
      <c r="F6" s="10" t="s">
        <v>93</v>
      </c>
      <c r="G6" s="10" t="s">
        <v>94</v>
      </c>
      <c r="H6" s="10" t="s">
        <v>95</v>
      </c>
      <c r="I6" s="10" t="s">
        <v>96</v>
      </c>
      <c r="J6" s="10" t="s">
        <v>59</v>
      </c>
      <c r="K6" s="10" t="s">
        <v>97</v>
      </c>
      <c r="L6" s="10" t="s">
        <v>98</v>
      </c>
      <c r="M6" s="10" t="s">
        <v>62</v>
      </c>
      <c r="N6" s="10" t="s">
        <v>62</v>
      </c>
      <c r="O6" s="10" t="s">
        <v>75</v>
      </c>
      <c r="P6" s="10" t="s">
        <v>62</v>
      </c>
      <c r="Q6" s="10" t="s">
        <v>76</v>
      </c>
      <c r="R6" s="10" t="s">
        <v>77</v>
      </c>
      <c r="S6" s="10" t="s">
        <v>99</v>
      </c>
      <c r="T6" s="12"/>
      <c r="U6" s="12"/>
    </row>
    <row r="7" customFormat="false" ht="240" hidden="false" customHeight="true" outlineLevel="0" collapsed="false">
      <c r="A7" s="10" t="n">
        <v>5</v>
      </c>
      <c r="B7" s="10" t="s">
        <v>51</v>
      </c>
      <c r="C7" s="10" t="s">
        <v>100</v>
      </c>
      <c r="D7" s="11" t="s">
        <v>53</v>
      </c>
      <c r="E7" s="10" t="s">
        <v>101</v>
      </c>
      <c r="F7" s="10" t="s">
        <v>102</v>
      </c>
      <c r="G7" s="10" t="s">
        <v>103</v>
      </c>
      <c r="H7" s="10" t="s">
        <v>104</v>
      </c>
      <c r="I7" s="10" t="s">
        <v>105</v>
      </c>
      <c r="J7" s="10" t="s">
        <v>106</v>
      </c>
      <c r="K7" s="10" t="s">
        <v>107</v>
      </c>
      <c r="L7" s="10" t="s">
        <v>108</v>
      </c>
      <c r="M7" s="10" t="s">
        <v>88</v>
      </c>
      <c r="N7" s="10" t="s">
        <v>62</v>
      </c>
      <c r="O7" s="10" t="s">
        <v>75</v>
      </c>
      <c r="P7" s="10" t="s">
        <v>62</v>
      </c>
      <c r="Q7" s="10" t="s">
        <v>76</v>
      </c>
      <c r="R7" s="10" t="s">
        <v>77</v>
      </c>
      <c r="S7" s="10" t="s">
        <v>109</v>
      </c>
      <c r="T7" s="12"/>
      <c r="U7" s="12"/>
    </row>
    <row r="8" customFormat="false" ht="240" hidden="false" customHeight="true" outlineLevel="0" collapsed="false">
      <c r="A8" s="10" t="n">
        <v>6</v>
      </c>
      <c r="B8" s="10" t="s">
        <v>51</v>
      </c>
      <c r="C8" s="10" t="s">
        <v>110</v>
      </c>
      <c r="D8" s="13" t="s">
        <v>111</v>
      </c>
      <c r="E8" s="10" t="s">
        <v>112</v>
      </c>
      <c r="F8" s="10" t="s">
        <v>113</v>
      </c>
      <c r="G8" s="10" t="s">
        <v>114</v>
      </c>
      <c r="H8" s="10" t="s">
        <v>115</v>
      </c>
      <c r="I8" s="10" t="s">
        <v>116</v>
      </c>
      <c r="J8" s="10" t="s">
        <v>59</v>
      </c>
      <c r="K8" s="10" t="s">
        <v>117</v>
      </c>
      <c r="L8" s="10" t="s">
        <v>118</v>
      </c>
      <c r="M8" s="10" t="s">
        <v>62</v>
      </c>
      <c r="N8" s="10" t="s">
        <v>62</v>
      </c>
      <c r="O8" s="10" t="s">
        <v>62</v>
      </c>
      <c r="P8" s="10" t="s">
        <v>119</v>
      </c>
      <c r="Q8" s="10" t="s">
        <v>62</v>
      </c>
      <c r="R8" s="10" t="s">
        <v>62</v>
      </c>
      <c r="S8" s="10" t="s">
        <v>120</v>
      </c>
      <c r="T8" s="12"/>
      <c r="U8" s="12"/>
    </row>
    <row r="9" customFormat="false" ht="240" hidden="false" customHeight="true" outlineLevel="0" collapsed="false">
      <c r="A9" s="10" t="n">
        <v>7</v>
      </c>
      <c r="B9" s="10" t="s">
        <v>51</v>
      </c>
      <c r="C9" s="10" t="s">
        <v>121</v>
      </c>
      <c r="D9" s="13" t="s">
        <v>111</v>
      </c>
      <c r="E9" s="10" t="s">
        <v>122</v>
      </c>
      <c r="F9" s="10" t="s">
        <v>123</v>
      </c>
      <c r="G9" s="10" t="s">
        <v>124</v>
      </c>
      <c r="H9" s="10" t="s">
        <v>125</v>
      </c>
      <c r="I9" s="10" t="s">
        <v>126</v>
      </c>
      <c r="J9" s="10" t="s">
        <v>59</v>
      </c>
      <c r="K9" s="10" t="s">
        <v>127</v>
      </c>
      <c r="L9" s="10" t="s">
        <v>128</v>
      </c>
      <c r="M9" s="10" t="s">
        <v>62</v>
      </c>
      <c r="N9" s="10" t="s">
        <v>62</v>
      </c>
      <c r="O9" s="10" t="s">
        <v>62</v>
      </c>
      <c r="P9" s="10" t="s">
        <v>129</v>
      </c>
      <c r="Q9" s="10" t="s">
        <v>62</v>
      </c>
      <c r="R9" s="10" t="s">
        <v>62</v>
      </c>
      <c r="S9" s="10" t="s">
        <v>130</v>
      </c>
      <c r="T9" s="12"/>
      <c r="U9" s="12"/>
    </row>
    <row r="10" customFormat="false" ht="240" hidden="false" customHeight="true" outlineLevel="0" collapsed="false">
      <c r="A10" s="10" t="n">
        <v>8</v>
      </c>
      <c r="B10" s="10" t="s">
        <v>51</v>
      </c>
      <c r="C10" s="10" t="s">
        <v>131</v>
      </c>
      <c r="D10" s="13" t="s">
        <v>111</v>
      </c>
      <c r="E10" s="10" t="s">
        <v>132</v>
      </c>
      <c r="F10" s="10" t="s">
        <v>133</v>
      </c>
      <c r="G10" s="10" t="s">
        <v>134</v>
      </c>
      <c r="H10" s="10" t="s">
        <v>135</v>
      </c>
      <c r="I10" s="10" t="s">
        <v>136</v>
      </c>
      <c r="J10" s="10" t="s">
        <v>59</v>
      </c>
      <c r="K10" s="10" t="s">
        <v>137</v>
      </c>
      <c r="L10" s="10" t="s">
        <v>138</v>
      </c>
      <c r="M10" s="10" t="s">
        <v>62</v>
      </c>
      <c r="N10" s="10" t="s">
        <v>62</v>
      </c>
      <c r="O10" s="10" t="s">
        <v>62</v>
      </c>
      <c r="P10" s="10" t="s">
        <v>129</v>
      </c>
      <c r="Q10" s="10" t="s">
        <v>62</v>
      </c>
      <c r="R10" s="10" t="s">
        <v>62</v>
      </c>
      <c r="S10" s="10" t="s">
        <v>139</v>
      </c>
      <c r="T10" s="12"/>
      <c r="U10" s="12"/>
    </row>
    <row r="11" customFormat="false" ht="240" hidden="false" customHeight="true" outlineLevel="0" collapsed="false">
      <c r="A11" s="10" t="n">
        <v>9</v>
      </c>
      <c r="B11" s="10" t="s">
        <v>140</v>
      </c>
      <c r="C11" s="10" t="s">
        <v>141</v>
      </c>
      <c r="D11" s="11" t="s">
        <v>53</v>
      </c>
      <c r="E11" s="10" t="s">
        <v>142</v>
      </c>
      <c r="F11" s="10" t="s">
        <v>143</v>
      </c>
      <c r="G11" s="10" t="s">
        <v>144</v>
      </c>
      <c r="H11" s="10" t="s">
        <v>145</v>
      </c>
      <c r="I11" s="10" t="s">
        <v>146</v>
      </c>
      <c r="J11" s="10" t="s">
        <v>147</v>
      </c>
      <c r="K11" s="10" t="s">
        <v>148</v>
      </c>
      <c r="L11" s="10" t="s">
        <v>149</v>
      </c>
      <c r="M11" s="10" t="s">
        <v>62</v>
      </c>
      <c r="N11" s="10" t="s">
        <v>62</v>
      </c>
      <c r="O11" s="10" t="s">
        <v>89</v>
      </c>
      <c r="P11" s="10" t="s">
        <v>62</v>
      </c>
      <c r="Q11" s="10" t="s">
        <v>150</v>
      </c>
      <c r="R11" s="10" t="s">
        <v>151</v>
      </c>
      <c r="S11" s="10" t="s">
        <v>152</v>
      </c>
      <c r="T11" s="12"/>
      <c r="U11" s="12"/>
    </row>
    <row r="12" customFormat="false" ht="240" hidden="false" customHeight="true" outlineLevel="0" collapsed="false">
      <c r="A12" s="10" t="n">
        <v>10</v>
      </c>
      <c r="B12" s="10" t="s">
        <v>153</v>
      </c>
      <c r="C12" s="10" t="s">
        <v>154</v>
      </c>
      <c r="D12" s="11" t="s">
        <v>53</v>
      </c>
      <c r="E12" s="10" t="s">
        <v>155</v>
      </c>
      <c r="F12" s="10" t="s">
        <v>156</v>
      </c>
      <c r="G12" s="10" t="s">
        <v>157</v>
      </c>
      <c r="H12" s="10" t="s">
        <v>158</v>
      </c>
      <c r="I12" s="10" t="s">
        <v>159</v>
      </c>
      <c r="J12" s="10" t="s">
        <v>59</v>
      </c>
      <c r="K12" s="10" t="s">
        <v>160</v>
      </c>
      <c r="L12" s="10" t="s">
        <v>161</v>
      </c>
      <c r="M12" s="10" t="s">
        <v>62</v>
      </c>
      <c r="N12" s="10" t="s">
        <v>62</v>
      </c>
      <c r="O12" s="10" t="s">
        <v>89</v>
      </c>
      <c r="P12" s="10" t="s">
        <v>62</v>
      </c>
      <c r="Q12" s="10" t="s">
        <v>162</v>
      </c>
      <c r="R12" s="10" t="s">
        <v>163</v>
      </c>
      <c r="S12" s="10" t="s">
        <v>164</v>
      </c>
      <c r="T12" s="12"/>
      <c r="U12" s="12"/>
    </row>
    <row r="13" customFormat="false" ht="223.5" hidden="false" customHeight="true" outlineLevel="0" collapsed="false">
      <c r="A13" s="10" t="n">
        <v>11</v>
      </c>
      <c r="B13" s="10" t="s">
        <v>140</v>
      </c>
      <c r="C13" s="10" t="s">
        <v>165</v>
      </c>
      <c r="D13" s="14" t="s">
        <v>166</v>
      </c>
      <c r="E13" s="10" t="s">
        <v>167</v>
      </c>
      <c r="F13" s="10" t="s">
        <v>168</v>
      </c>
      <c r="G13" s="10" t="s">
        <v>169</v>
      </c>
      <c r="H13" s="10" t="s">
        <v>170</v>
      </c>
      <c r="I13" s="10" t="s">
        <v>171</v>
      </c>
      <c r="J13" s="10" t="s">
        <v>59</v>
      </c>
      <c r="K13" s="10" t="s">
        <v>172</v>
      </c>
      <c r="L13" s="10" t="s">
        <v>173</v>
      </c>
      <c r="M13" s="10" t="s">
        <v>62</v>
      </c>
      <c r="N13" s="10" t="s">
        <v>62</v>
      </c>
      <c r="O13" s="10" t="s">
        <v>89</v>
      </c>
      <c r="P13" s="10" t="s">
        <v>62</v>
      </c>
      <c r="Q13" s="10" t="s">
        <v>174</v>
      </c>
      <c r="R13" s="10" t="s">
        <v>175</v>
      </c>
      <c r="S13" s="10" t="s">
        <v>176</v>
      </c>
      <c r="T13" s="12"/>
      <c r="U13" s="12"/>
    </row>
    <row r="14" customFormat="false" ht="181.5" hidden="false" customHeight="true" outlineLevel="0" collapsed="false">
      <c r="A14" s="10" t="n">
        <v>12</v>
      </c>
      <c r="B14" s="10" t="s">
        <v>140</v>
      </c>
      <c r="C14" s="10" t="s">
        <v>177</v>
      </c>
      <c r="D14" s="15" t="s">
        <v>178</v>
      </c>
      <c r="E14" s="10" t="s">
        <v>179</v>
      </c>
      <c r="F14" s="10" t="s">
        <v>180</v>
      </c>
      <c r="G14" s="10" t="s">
        <v>169</v>
      </c>
      <c r="H14" s="10" t="s">
        <v>181</v>
      </c>
      <c r="I14" s="10" t="s">
        <v>182</v>
      </c>
      <c r="J14" s="10" t="s">
        <v>59</v>
      </c>
      <c r="K14" s="10" t="s">
        <v>183</v>
      </c>
      <c r="L14" s="10" t="s">
        <v>184</v>
      </c>
      <c r="M14" s="10" t="s">
        <v>62</v>
      </c>
      <c r="N14" s="10" t="s">
        <v>62</v>
      </c>
      <c r="O14" s="10" t="s">
        <v>89</v>
      </c>
      <c r="P14" s="10" t="s">
        <v>62</v>
      </c>
      <c r="Q14" s="10" t="s">
        <v>185</v>
      </c>
      <c r="R14" s="10" t="s">
        <v>186</v>
      </c>
      <c r="S14" s="10" t="s">
        <v>187</v>
      </c>
      <c r="T14" s="12"/>
      <c r="U14" s="12"/>
    </row>
    <row r="15" customFormat="false" ht="240" hidden="false" customHeight="true" outlineLevel="0" collapsed="false">
      <c r="A15" s="10" t="n">
        <v>13</v>
      </c>
      <c r="B15" s="10" t="s">
        <v>188</v>
      </c>
      <c r="C15" s="10" t="s">
        <v>189</v>
      </c>
      <c r="D15" s="15" t="s">
        <v>178</v>
      </c>
      <c r="E15" s="10" t="s">
        <v>190</v>
      </c>
      <c r="F15" s="10" t="s">
        <v>191</v>
      </c>
      <c r="G15" s="10" t="s">
        <v>192</v>
      </c>
      <c r="H15" s="10" t="s">
        <v>193</v>
      </c>
      <c r="I15" s="10" t="s">
        <v>71</v>
      </c>
      <c r="J15" s="10" t="s">
        <v>194</v>
      </c>
      <c r="K15" s="10" t="s">
        <v>195</v>
      </c>
      <c r="L15" s="10" t="s">
        <v>196</v>
      </c>
      <c r="M15" s="10" t="s">
        <v>197</v>
      </c>
      <c r="N15" s="10" t="s">
        <v>62</v>
      </c>
      <c r="O15" s="10" t="s">
        <v>89</v>
      </c>
      <c r="P15" s="10" t="s">
        <v>62</v>
      </c>
      <c r="Q15" s="10" t="s">
        <v>62</v>
      </c>
      <c r="R15" s="10" t="s">
        <v>62</v>
      </c>
      <c r="S15" s="10" t="s">
        <v>198</v>
      </c>
      <c r="T15" s="12"/>
      <c r="U15" s="12"/>
    </row>
    <row r="16" customFormat="false" ht="153.75" hidden="false" customHeight="true" outlineLevel="0" collapsed="false">
      <c r="A16" s="10" t="n">
        <v>14</v>
      </c>
      <c r="B16" s="10" t="s">
        <v>199</v>
      </c>
      <c r="C16" s="10" t="s">
        <v>200</v>
      </c>
      <c r="D16" s="13" t="s">
        <v>111</v>
      </c>
      <c r="E16" s="10" t="s">
        <v>201</v>
      </c>
      <c r="F16" s="10" t="s">
        <v>202</v>
      </c>
      <c r="G16" s="10" t="s">
        <v>203</v>
      </c>
      <c r="H16" s="10" t="s">
        <v>204</v>
      </c>
      <c r="I16" s="10" t="s">
        <v>205</v>
      </c>
      <c r="J16" s="10" t="s">
        <v>206</v>
      </c>
      <c r="K16" s="10" t="s">
        <v>207</v>
      </c>
      <c r="L16" s="10" t="s">
        <v>208</v>
      </c>
      <c r="M16" s="10" t="s">
        <v>62</v>
      </c>
      <c r="N16" s="10" t="s">
        <v>62</v>
      </c>
      <c r="O16" s="10" t="s">
        <v>62</v>
      </c>
      <c r="P16" s="10" t="s">
        <v>209</v>
      </c>
      <c r="Q16" s="10" t="s">
        <v>62</v>
      </c>
      <c r="R16" s="10" t="s">
        <v>62</v>
      </c>
      <c r="S16" s="10" t="s">
        <v>210</v>
      </c>
      <c r="T16" s="12"/>
      <c r="U16" s="12"/>
    </row>
    <row r="17" customFormat="false" ht="168" hidden="false" customHeight="true" outlineLevel="0" collapsed="false">
      <c r="A17" s="10" t="n">
        <v>15</v>
      </c>
      <c r="B17" s="10" t="s">
        <v>211</v>
      </c>
      <c r="C17" s="10" t="s">
        <v>212</v>
      </c>
      <c r="D17" s="11" t="s">
        <v>53</v>
      </c>
      <c r="E17" s="10" t="s">
        <v>213</v>
      </c>
      <c r="F17" s="10" t="s">
        <v>214</v>
      </c>
      <c r="G17" s="10" t="s">
        <v>215</v>
      </c>
      <c r="H17" s="10" t="s">
        <v>216</v>
      </c>
      <c r="I17" s="10" t="s">
        <v>159</v>
      </c>
      <c r="J17" s="10" t="s">
        <v>59</v>
      </c>
      <c r="K17" s="10" t="s">
        <v>160</v>
      </c>
      <c r="L17" s="10" t="s">
        <v>217</v>
      </c>
      <c r="M17" s="10" t="s">
        <v>62</v>
      </c>
      <c r="N17" s="10" t="s">
        <v>62</v>
      </c>
      <c r="O17" s="10" t="s">
        <v>89</v>
      </c>
      <c r="P17" s="10" t="s">
        <v>62</v>
      </c>
      <c r="Q17" s="10" t="s">
        <v>218</v>
      </c>
      <c r="R17" s="10" t="s">
        <v>219</v>
      </c>
      <c r="S17" s="10" t="s">
        <v>220</v>
      </c>
      <c r="T17" s="12"/>
      <c r="U17" s="12"/>
    </row>
    <row r="18" customFormat="false" ht="240" hidden="false" customHeight="true" outlineLevel="0" collapsed="false">
      <c r="A18" s="10" t="n">
        <v>16</v>
      </c>
      <c r="B18" s="10" t="s">
        <v>221</v>
      </c>
      <c r="C18" s="10" t="s">
        <v>222</v>
      </c>
      <c r="D18" s="11" t="s">
        <v>53</v>
      </c>
      <c r="E18" s="10" t="s">
        <v>223</v>
      </c>
      <c r="F18" s="10" t="s">
        <v>224</v>
      </c>
      <c r="G18" s="10" t="s">
        <v>225</v>
      </c>
      <c r="H18" s="10" t="s">
        <v>226</v>
      </c>
      <c r="I18" s="10" t="s">
        <v>159</v>
      </c>
      <c r="J18" s="10" t="s">
        <v>59</v>
      </c>
      <c r="K18" s="10" t="s">
        <v>227</v>
      </c>
      <c r="L18" s="10" t="s">
        <v>228</v>
      </c>
      <c r="M18" s="10" t="s">
        <v>62</v>
      </c>
      <c r="N18" s="10" t="s">
        <v>62</v>
      </c>
      <c r="O18" s="10" t="s">
        <v>89</v>
      </c>
      <c r="P18" s="10" t="s">
        <v>62</v>
      </c>
      <c r="Q18" s="10" t="s">
        <v>229</v>
      </c>
      <c r="R18" s="10" t="s">
        <v>230</v>
      </c>
      <c r="S18" s="10" t="s">
        <v>231</v>
      </c>
      <c r="T18" s="12"/>
      <c r="U18" s="12"/>
    </row>
    <row r="19" customFormat="false" ht="195.75" hidden="false" customHeight="true" outlineLevel="0" collapsed="false">
      <c r="A19" s="10" t="n">
        <v>17</v>
      </c>
      <c r="B19" s="10" t="s">
        <v>221</v>
      </c>
      <c r="C19" s="10" t="s">
        <v>232</v>
      </c>
      <c r="D19" s="14" t="s">
        <v>166</v>
      </c>
      <c r="E19" s="10" t="s">
        <v>233</v>
      </c>
      <c r="F19" s="10" t="s">
        <v>234</v>
      </c>
      <c r="G19" s="10" t="s">
        <v>235</v>
      </c>
      <c r="H19" s="10" t="s">
        <v>236</v>
      </c>
      <c r="I19" s="10" t="s">
        <v>159</v>
      </c>
      <c r="J19" s="10" t="s">
        <v>59</v>
      </c>
      <c r="K19" s="10" t="s">
        <v>160</v>
      </c>
      <c r="L19" s="10" t="s">
        <v>237</v>
      </c>
      <c r="M19" s="10" t="s">
        <v>62</v>
      </c>
      <c r="N19" s="10" t="s">
        <v>62</v>
      </c>
      <c r="O19" s="10" t="s">
        <v>89</v>
      </c>
      <c r="P19" s="10" t="s">
        <v>62</v>
      </c>
      <c r="Q19" s="10" t="s">
        <v>238</v>
      </c>
      <c r="R19" s="10" t="s">
        <v>239</v>
      </c>
      <c r="S19" s="10" t="s">
        <v>240</v>
      </c>
      <c r="T19" s="12"/>
      <c r="U19" s="12"/>
    </row>
    <row r="20" customFormat="false" ht="168" hidden="false" customHeight="true" outlineLevel="0" collapsed="false">
      <c r="A20" s="10" t="n">
        <v>18</v>
      </c>
      <c r="B20" s="10" t="s">
        <v>241</v>
      </c>
      <c r="C20" s="10" t="s">
        <v>242</v>
      </c>
      <c r="D20" s="15" t="s">
        <v>178</v>
      </c>
      <c r="E20" s="10" t="s">
        <v>243</v>
      </c>
      <c r="F20" s="10" t="s">
        <v>244</v>
      </c>
      <c r="G20" s="10" t="s">
        <v>245</v>
      </c>
      <c r="H20" s="10" t="s">
        <v>246</v>
      </c>
      <c r="I20" s="10" t="s">
        <v>159</v>
      </c>
      <c r="J20" s="10" t="s">
        <v>59</v>
      </c>
      <c r="K20" s="10" t="s">
        <v>160</v>
      </c>
      <c r="L20" s="10" t="s">
        <v>247</v>
      </c>
      <c r="M20" s="10" t="s">
        <v>62</v>
      </c>
      <c r="N20" s="10" t="s">
        <v>62</v>
      </c>
      <c r="O20" s="10" t="s">
        <v>89</v>
      </c>
      <c r="P20" s="10" t="s">
        <v>62</v>
      </c>
      <c r="Q20" s="10" t="s">
        <v>248</v>
      </c>
      <c r="R20" s="10" t="s">
        <v>249</v>
      </c>
      <c r="S20" s="10" t="s">
        <v>250</v>
      </c>
      <c r="T20" s="12"/>
      <c r="U20" s="12"/>
    </row>
    <row r="21" customFormat="false" ht="139.5" hidden="false" customHeight="true" outlineLevel="0" collapsed="false">
      <c r="A21" s="10" t="n">
        <v>19</v>
      </c>
      <c r="B21" s="10" t="s">
        <v>251</v>
      </c>
      <c r="C21" s="10" t="s">
        <v>252</v>
      </c>
      <c r="D21" s="13" t="s">
        <v>111</v>
      </c>
      <c r="E21" s="10" t="s">
        <v>253</v>
      </c>
      <c r="F21" s="10" t="s">
        <v>254</v>
      </c>
      <c r="G21" s="10" t="s">
        <v>255</v>
      </c>
      <c r="H21" s="10" t="s">
        <v>256</v>
      </c>
      <c r="I21" s="10" t="s">
        <v>257</v>
      </c>
      <c r="J21" s="10" t="s">
        <v>206</v>
      </c>
      <c r="K21" s="10" t="s">
        <v>207</v>
      </c>
      <c r="L21" s="10" t="s">
        <v>258</v>
      </c>
      <c r="M21" s="10" t="s">
        <v>62</v>
      </c>
      <c r="N21" s="10" t="s">
        <v>62</v>
      </c>
      <c r="O21" s="10" t="s">
        <v>62</v>
      </c>
      <c r="P21" s="10" t="s">
        <v>259</v>
      </c>
      <c r="Q21" s="10" t="s">
        <v>62</v>
      </c>
      <c r="R21" s="10" t="s">
        <v>62</v>
      </c>
      <c r="S21" s="10" t="s">
        <v>260</v>
      </c>
      <c r="T21" s="12"/>
      <c r="U21" s="12"/>
    </row>
    <row r="22" customFormat="false" ht="168" hidden="false" customHeight="true" outlineLevel="0" collapsed="false">
      <c r="A22" s="10" t="n">
        <v>20</v>
      </c>
      <c r="B22" s="10" t="s">
        <v>43</v>
      </c>
      <c r="C22" s="10" t="s">
        <v>261</v>
      </c>
      <c r="D22" s="14" t="s">
        <v>166</v>
      </c>
      <c r="E22" s="10" t="s">
        <v>262</v>
      </c>
      <c r="F22" s="10" t="s">
        <v>234</v>
      </c>
      <c r="G22" s="10" t="s">
        <v>169</v>
      </c>
      <c r="H22" s="10" t="s">
        <v>263</v>
      </c>
      <c r="I22" s="10" t="s">
        <v>159</v>
      </c>
      <c r="J22" s="10" t="s">
        <v>264</v>
      </c>
      <c r="K22" s="10" t="s">
        <v>160</v>
      </c>
      <c r="L22" s="10" t="s">
        <v>265</v>
      </c>
      <c r="M22" s="10" t="s">
        <v>62</v>
      </c>
      <c r="N22" s="10" t="s">
        <v>62</v>
      </c>
      <c r="O22" s="10" t="s">
        <v>89</v>
      </c>
      <c r="P22" s="10" t="s">
        <v>62</v>
      </c>
      <c r="Q22" s="10" t="s">
        <v>266</v>
      </c>
      <c r="R22" s="10" t="s">
        <v>267</v>
      </c>
      <c r="S22" s="10" t="s">
        <v>268</v>
      </c>
      <c r="T22" s="12"/>
      <c r="U22" s="12"/>
    </row>
    <row r="23" customFormat="false" ht="195.75" hidden="false" customHeight="true" outlineLevel="0" collapsed="false">
      <c r="A23" s="10" t="n">
        <v>21</v>
      </c>
      <c r="B23" s="10" t="s">
        <v>43</v>
      </c>
      <c r="C23" s="10" t="s">
        <v>269</v>
      </c>
      <c r="D23" s="14" t="s">
        <v>166</v>
      </c>
      <c r="E23" s="10" t="s">
        <v>270</v>
      </c>
      <c r="F23" s="10" t="s">
        <v>271</v>
      </c>
      <c r="G23" s="10" t="s">
        <v>272</v>
      </c>
      <c r="H23" s="10" t="s">
        <v>273</v>
      </c>
      <c r="I23" s="10" t="s">
        <v>159</v>
      </c>
      <c r="J23" s="10" t="s">
        <v>274</v>
      </c>
      <c r="K23" s="10" t="s">
        <v>275</v>
      </c>
      <c r="L23" s="10" t="s">
        <v>276</v>
      </c>
      <c r="M23" s="10" t="s">
        <v>62</v>
      </c>
      <c r="N23" s="10" t="s">
        <v>62</v>
      </c>
      <c r="O23" s="10" t="s">
        <v>89</v>
      </c>
      <c r="P23" s="10" t="s">
        <v>62</v>
      </c>
      <c r="Q23" s="10" t="s">
        <v>277</v>
      </c>
      <c r="R23" s="10" t="s">
        <v>278</v>
      </c>
      <c r="S23" s="10" t="s">
        <v>240</v>
      </c>
      <c r="T23" s="12"/>
      <c r="U23" s="12"/>
    </row>
    <row r="24" customFormat="false" ht="195.75" hidden="false" customHeight="true" outlineLevel="0" collapsed="false">
      <c r="A24" s="10" t="n">
        <v>22</v>
      </c>
      <c r="B24" s="10" t="s">
        <v>43</v>
      </c>
      <c r="C24" s="10" t="s">
        <v>279</v>
      </c>
      <c r="D24" s="13" t="s">
        <v>111</v>
      </c>
      <c r="E24" s="10" t="s">
        <v>280</v>
      </c>
      <c r="F24" s="10" t="s">
        <v>234</v>
      </c>
      <c r="G24" s="10" t="s">
        <v>169</v>
      </c>
      <c r="H24" s="10" t="s">
        <v>281</v>
      </c>
      <c r="I24" s="10" t="s">
        <v>159</v>
      </c>
      <c r="J24" s="10" t="s">
        <v>282</v>
      </c>
      <c r="K24" s="10" t="s">
        <v>160</v>
      </c>
      <c r="L24" s="10" t="s">
        <v>283</v>
      </c>
      <c r="M24" s="10" t="s">
        <v>62</v>
      </c>
      <c r="N24" s="10" t="s">
        <v>62</v>
      </c>
      <c r="O24" s="10" t="s">
        <v>62</v>
      </c>
      <c r="P24" s="10" t="s">
        <v>284</v>
      </c>
      <c r="Q24" s="10" t="s">
        <v>62</v>
      </c>
      <c r="R24" s="10" t="s">
        <v>62</v>
      </c>
      <c r="S24" s="10" t="s">
        <v>285</v>
      </c>
      <c r="T24" s="12"/>
      <c r="U24" s="12"/>
    </row>
    <row r="25" customFormat="false" ht="195.75" hidden="false" customHeight="true" outlineLevel="0" collapsed="false">
      <c r="A25" s="10" t="n">
        <v>23</v>
      </c>
      <c r="B25" s="10" t="s">
        <v>286</v>
      </c>
      <c r="C25" s="10" t="s">
        <v>287</v>
      </c>
      <c r="D25" s="14" t="s">
        <v>166</v>
      </c>
      <c r="E25" s="10" t="s">
        <v>288</v>
      </c>
      <c r="F25" s="10" t="s">
        <v>254</v>
      </c>
      <c r="G25" s="10" t="s">
        <v>203</v>
      </c>
      <c r="H25" s="10" t="s">
        <v>256</v>
      </c>
      <c r="I25" s="10" t="s">
        <v>257</v>
      </c>
      <c r="J25" s="10" t="s">
        <v>206</v>
      </c>
      <c r="K25" s="10" t="s">
        <v>207</v>
      </c>
      <c r="L25" s="10" t="s">
        <v>289</v>
      </c>
      <c r="M25" s="10" t="s">
        <v>62</v>
      </c>
      <c r="N25" s="10" t="s">
        <v>62</v>
      </c>
      <c r="O25" s="10" t="s">
        <v>89</v>
      </c>
      <c r="P25" s="10" t="s">
        <v>62</v>
      </c>
      <c r="Q25" s="10" t="s">
        <v>290</v>
      </c>
      <c r="R25" s="10" t="s">
        <v>291</v>
      </c>
      <c r="S25" s="10" t="s">
        <v>292</v>
      </c>
      <c r="T25" s="12"/>
      <c r="U25" s="12"/>
    </row>
    <row r="26" customFormat="false" ht="126" hidden="false" customHeight="true" outlineLevel="0" collapsed="false">
      <c r="A26" s="10" t="n">
        <v>24</v>
      </c>
      <c r="B26" s="10" t="s">
        <v>286</v>
      </c>
      <c r="C26" s="10" t="s">
        <v>293</v>
      </c>
      <c r="D26" s="14" t="s">
        <v>166</v>
      </c>
      <c r="E26" s="10" t="s">
        <v>294</v>
      </c>
      <c r="F26" s="10" t="s">
        <v>295</v>
      </c>
      <c r="G26" s="10" t="s">
        <v>272</v>
      </c>
      <c r="H26" s="10" t="s">
        <v>296</v>
      </c>
      <c r="I26" s="10" t="s">
        <v>159</v>
      </c>
      <c r="J26" s="10" t="s">
        <v>59</v>
      </c>
      <c r="K26" s="10" t="s">
        <v>160</v>
      </c>
      <c r="L26" s="10" t="s">
        <v>297</v>
      </c>
      <c r="M26" s="10" t="s">
        <v>62</v>
      </c>
      <c r="N26" s="10" t="s">
        <v>62</v>
      </c>
      <c r="O26" s="10" t="s">
        <v>89</v>
      </c>
      <c r="P26" s="10" t="s">
        <v>62</v>
      </c>
      <c r="Q26" s="10" t="s">
        <v>298</v>
      </c>
      <c r="R26" s="10" t="s">
        <v>299</v>
      </c>
      <c r="S26" s="10" t="s">
        <v>240</v>
      </c>
      <c r="T26" s="12"/>
      <c r="U26" s="12"/>
    </row>
    <row r="27" customFormat="false" ht="181.5" hidden="false" customHeight="true" outlineLevel="0" collapsed="false">
      <c r="A27" s="10" t="n">
        <v>25</v>
      </c>
      <c r="B27" s="10" t="s">
        <v>286</v>
      </c>
      <c r="C27" s="10" t="s">
        <v>300</v>
      </c>
      <c r="D27" s="14" t="s">
        <v>166</v>
      </c>
      <c r="E27" s="10" t="s">
        <v>301</v>
      </c>
      <c r="F27" s="10" t="s">
        <v>234</v>
      </c>
      <c r="G27" s="10" t="s">
        <v>169</v>
      </c>
      <c r="H27" s="10" t="s">
        <v>302</v>
      </c>
      <c r="I27" s="10" t="s">
        <v>303</v>
      </c>
      <c r="J27" s="10" t="s">
        <v>59</v>
      </c>
      <c r="K27" s="10" t="s">
        <v>160</v>
      </c>
      <c r="L27" s="10" t="s">
        <v>304</v>
      </c>
      <c r="M27" s="10" t="s">
        <v>62</v>
      </c>
      <c r="N27" s="10" t="s">
        <v>62</v>
      </c>
      <c r="O27" s="10" t="s">
        <v>89</v>
      </c>
      <c r="P27" s="10" t="s">
        <v>62</v>
      </c>
      <c r="Q27" s="10" t="s">
        <v>305</v>
      </c>
      <c r="R27" s="10" t="s">
        <v>306</v>
      </c>
      <c r="S27" s="10" t="s">
        <v>307</v>
      </c>
      <c r="T27" s="12"/>
      <c r="U27" s="12"/>
    </row>
    <row r="28" customFormat="false" ht="181.5" hidden="false" customHeight="true" outlineLevel="0" collapsed="false">
      <c r="A28" s="10" t="n">
        <v>26</v>
      </c>
      <c r="B28" s="10" t="s">
        <v>286</v>
      </c>
      <c r="C28" s="10" t="s">
        <v>308</v>
      </c>
      <c r="D28" s="15" t="s">
        <v>178</v>
      </c>
      <c r="E28" s="10" t="s">
        <v>309</v>
      </c>
      <c r="F28" s="10" t="s">
        <v>254</v>
      </c>
      <c r="G28" s="10" t="s">
        <v>203</v>
      </c>
      <c r="H28" s="10" t="s">
        <v>256</v>
      </c>
      <c r="I28" s="10" t="s">
        <v>257</v>
      </c>
      <c r="J28" s="10" t="s">
        <v>206</v>
      </c>
      <c r="K28" s="10" t="s">
        <v>207</v>
      </c>
      <c r="L28" s="10" t="s">
        <v>310</v>
      </c>
      <c r="M28" s="10" t="s">
        <v>62</v>
      </c>
      <c r="N28" s="10" t="s">
        <v>62</v>
      </c>
      <c r="O28" s="10" t="s">
        <v>89</v>
      </c>
      <c r="P28" s="10" t="s">
        <v>62</v>
      </c>
      <c r="Q28" s="10" t="s">
        <v>62</v>
      </c>
      <c r="R28" s="10" t="s">
        <v>62</v>
      </c>
      <c r="S28" s="10" t="s">
        <v>311</v>
      </c>
      <c r="T28" s="12"/>
      <c r="U28" s="12"/>
    </row>
    <row r="29" customFormat="false" ht="195.75" hidden="false" customHeight="true" outlineLevel="0" collapsed="false">
      <c r="A29" s="10" t="n">
        <v>27</v>
      </c>
      <c r="B29" s="10" t="s">
        <v>286</v>
      </c>
      <c r="C29" s="10" t="s">
        <v>312</v>
      </c>
      <c r="D29" s="15" t="s">
        <v>178</v>
      </c>
      <c r="E29" s="10" t="s">
        <v>313</v>
      </c>
      <c r="F29" s="10" t="s">
        <v>254</v>
      </c>
      <c r="G29" s="10" t="s">
        <v>203</v>
      </c>
      <c r="H29" s="10" t="s">
        <v>256</v>
      </c>
      <c r="I29" s="10" t="s">
        <v>257</v>
      </c>
      <c r="J29" s="10" t="s">
        <v>206</v>
      </c>
      <c r="K29" s="10" t="s">
        <v>207</v>
      </c>
      <c r="L29" s="10" t="s">
        <v>314</v>
      </c>
      <c r="M29" s="10" t="s">
        <v>62</v>
      </c>
      <c r="N29" s="10" t="s">
        <v>62</v>
      </c>
      <c r="O29" s="10" t="s">
        <v>89</v>
      </c>
      <c r="P29" s="10" t="s">
        <v>62</v>
      </c>
      <c r="Q29" s="10" t="s">
        <v>62</v>
      </c>
      <c r="R29" s="10" t="s">
        <v>62</v>
      </c>
      <c r="S29" s="10" t="s">
        <v>315</v>
      </c>
      <c r="T29" s="12"/>
      <c r="U29" s="12"/>
    </row>
    <row r="30" customFormat="false" ht="168" hidden="false" customHeight="true" outlineLevel="0" collapsed="false">
      <c r="A30" s="10" t="n">
        <v>28</v>
      </c>
      <c r="B30" s="10" t="s">
        <v>286</v>
      </c>
      <c r="C30" s="10" t="s">
        <v>316</v>
      </c>
      <c r="D30" s="13" t="s">
        <v>111</v>
      </c>
      <c r="E30" s="10" t="s">
        <v>317</v>
      </c>
      <c r="F30" s="10" t="s">
        <v>254</v>
      </c>
      <c r="G30" s="10" t="s">
        <v>203</v>
      </c>
      <c r="H30" s="10" t="s">
        <v>256</v>
      </c>
      <c r="I30" s="10" t="s">
        <v>257</v>
      </c>
      <c r="J30" s="10" t="s">
        <v>206</v>
      </c>
      <c r="K30" s="10" t="s">
        <v>207</v>
      </c>
      <c r="L30" s="10" t="s">
        <v>318</v>
      </c>
      <c r="M30" s="10" t="s">
        <v>62</v>
      </c>
      <c r="N30" s="10" t="s">
        <v>62</v>
      </c>
      <c r="O30" s="10" t="s">
        <v>62</v>
      </c>
      <c r="P30" s="10" t="s">
        <v>259</v>
      </c>
      <c r="Q30" s="10" t="s">
        <v>62</v>
      </c>
      <c r="R30" s="10" t="s">
        <v>62</v>
      </c>
      <c r="S30" s="10" t="s">
        <v>285</v>
      </c>
      <c r="T30" s="12"/>
      <c r="U30" s="12"/>
    </row>
    <row r="31" customFormat="false" ht="210" hidden="false" customHeight="true" outlineLevel="0" collapsed="false">
      <c r="A31" s="10" t="n">
        <v>29</v>
      </c>
      <c r="B31" s="10" t="s">
        <v>319</v>
      </c>
      <c r="C31" s="10" t="s">
        <v>320</v>
      </c>
      <c r="D31" s="11" t="s">
        <v>53</v>
      </c>
      <c r="E31" s="10" t="s">
        <v>321</v>
      </c>
      <c r="F31" s="10" t="s">
        <v>234</v>
      </c>
      <c r="G31" s="10" t="s">
        <v>322</v>
      </c>
      <c r="H31" s="10" t="s">
        <v>323</v>
      </c>
      <c r="I31" s="10" t="s">
        <v>159</v>
      </c>
      <c r="J31" s="10" t="s">
        <v>59</v>
      </c>
      <c r="K31" s="10" t="s">
        <v>160</v>
      </c>
      <c r="L31" s="10" t="s">
        <v>324</v>
      </c>
      <c r="M31" s="10" t="s">
        <v>62</v>
      </c>
      <c r="N31" s="10" t="s">
        <v>62</v>
      </c>
      <c r="O31" s="10" t="s">
        <v>75</v>
      </c>
      <c r="P31" s="10" t="s">
        <v>62</v>
      </c>
      <c r="Q31" s="10" t="s">
        <v>325</v>
      </c>
      <c r="R31" s="10" t="s">
        <v>326</v>
      </c>
      <c r="S31" s="10" t="s">
        <v>327</v>
      </c>
      <c r="T31" s="12"/>
      <c r="U31" s="12"/>
    </row>
    <row r="32" customFormat="false" ht="223.5" hidden="false" customHeight="true" outlineLevel="0" collapsed="false">
      <c r="A32" s="10" t="n">
        <v>30</v>
      </c>
      <c r="B32" s="10" t="s">
        <v>319</v>
      </c>
      <c r="C32" s="10" t="s">
        <v>328</v>
      </c>
      <c r="D32" s="11" t="s">
        <v>53</v>
      </c>
      <c r="E32" s="10" t="s">
        <v>329</v>
      </c>
      <c r="F32" s="10" t="s">
        <v>330</v>
      </c>
      <c r="G32" s="10" t="s">
        <v>272</v>
      </c>
      <c r="H32" s="10" t="s">
        <v>331</v>
      </c>
      <c r="I32" s="10" t="s">
        <v>159</v>
      </c>
      <c r="J32" s="10" t="s">
        <v>59</v>
      </c>
      <c r="K32" s="10" t="s">
        <v>332</v>
      </c>
      <c r="L32" s="10" t="s">
        <v>333</v>
      </c>
      <c r="M32" s="10" t="s">
        <v>62</v>
      </c>
      <c r="N32" s="10" t="s">
        <v>334</v>
      </c>
      <c r="O32" s="10" t="s">
        <v>75</v>
      </c>
      <c r="P32" s="10" t="s">
        <v>62</v>
      </c>
      <c r="Q32" s="10" t="s">
        <v>335</v>
      </c>
      <c r="R32" s="10" t="s">
        <v>336</v>
      </c>
      <c r="S32" s="10" t="s">
        <v>337</v>
      </c>
      <c r="T32" s="12"/>
      <c r="U32" s="12"/>
    </row>
    <row r="33" customFormat="false" ht="240" hidden="false" customHeight="true" outlineLevel="0" collapsed="false">
      <c r="A33" s="10" t="n">
        <v>31</v>
      </c>
      <c r="B33" s="10" t="s">
        <v>338</v>
      </c>
      <c r="C33" s="10" t="s">
        <v>339</v>
      </c>
      <c r="D33" s="11" t="s">
        <v>53</v>
      </c>
      <c r="E33" s="10" t="s">
        <v>340</v>
      </c>
      <c r="F33" s="10" t="s">
        <v>341</v>
      </c>
      <c r="G33" s="10" t="s">
        <v>342</v>
      </c>
      <c r="H33" s="10" t="s">
        <v>343</v>
      </c>
      <c r="I33" s="10" t="s">
        <v>344</v>
      </c>
      <c r="J33" s="10" t="s">
        <v>344</v>
      </c>
      <c r="K33" s="10" t="s">
        <v>345</v>
      </c>
      <c r="L33" s="10" t="s">
        <v>346</v>
      </c>
      <c r="M33" s="10" t="s">
        <v>62</v>
      </c>
      <c r="N33" s="10" t="s">
        <v>62</v>
      </c>
      <c r="O33" s="10" t="s">
        <v>75</v>
      </c>
      <c r="P33" s="10" t="s">
        <v>62</v>
      </c>
      <c r="Q33" s="10" t="s">
        <v>347</v>
      </c>
      <c r="R33" s="10" t="s">
        <v>348</v>
      </c>
      <c r="S33" s="10" t="s">
        <v>349</v>
      </c>
      <c r="T33" s="12"/>
      <c r="U33" s="12"/>
    </row>
    <row r="34" customFormat="false" ht="240" hidden="false" customHeight="true" outlineLevel="0" collapsed="false">
      <c r="A34" s="10" t="n">
        <v>32</v>
      </c>
      <c r="B34" s="10" t="s">
        <v>338</v>
      </c>
      <c r="C34" s="10" t="s">
        <v>350</v>
      </c>
      <c r="D34" s="11" t="s">
        <v>53</v>
      </c>
      <c r="E34" s="10" t="s">
        <v>351</v>
      </c>
      <c r="F34" s="10" t="s">
        <v>352</v>
      </c>
      <c r="G34" s="10" t="s">
        <v>169</v>
      </c>
      <c r="H34" s="10" t="s">
        <v>331</v>
      </c>
      <c r="I34" s="10" t="s">
        <v>159</v>
      </c>
      <c r="J34" s="10" t="s">
        <v>59</v>
      </c>
      <c r="K34" s="10" t="s">
        <v>160</v>
      </c>
      <c r="L34" s="10" t="s">
        <v>353</v>
      </c>
      <c r="M34" s="10" t="s">
        <v>62</v>
      </c>
      <c r="N34" s="10" t="s">
        <v>62</v>
      </c>
      <c r="O34" s="10" t="s">
        <v>75</v>
      </c>
      <c r="P34" s="10" t="s">
        <v>62</v>
      </c>
      <c r="Q34" s="10" t="s">
        <v>354</v>
      </c>
      <c r="R34" s="10" t="s">
        <v>355</v>
      </c>
      <c r="S34" s="10" t="s">
        <v>356</v>
      </c>
      <c r="T34" s="12"/>
      <c r="U34" s="12"/>
    </row>
    <row r="35" customFormat="false" ht="240" hidden="false" customHeight="true" outlineLevel="0" collapsed="false">
      <c r="A35" s="10" t="n">
        <v>33</v>
      </c>
      <c r="B35" s="10" t="s">
        <v>338</v>
      </c>
      <c r="C35" s="10" t="s">
        <v>357</v>
      </c>
      <c r="D35" s="14" t="s">
        <v>166</v>
      </c>
      <c r="E35" s="10" t="s">
        <v>358</v>
      </c>
      <c r="F35" s="10" t="s">
        <v>254</v>
      </c>
      <c r="G35" s="10" t="s">
        <v>359</v>
      </c>
      <c r="H35" s="10" t="s">
        <v>360</v>
      </c>
      <c r="I35" s="10" t="s">
        <v>257</v>
      </c>
      <c r="J35" s="10" t="s">
        <v>206</v>
      </c>
      <c r="K35" s="10" t="s">
        <v>207</v>
      </c>
      <c r="L35" s="10" t="s">
        <v>361</v>
      </c>
      <c r="M35" s="10" t="s">
        <v>62</v>
      </c>
      <c r="N35" s="10" t="s">
        <v>62</v>
      </c>
      <c r="O35" s="10" t="s">
        <v>75</v>
      </c>
      <c r="P35" s="10" t="s">
        <v>62</v>
      </c>
      <c r="Q35" s="10" t="s">
        <v>362</v>
      </c>
      <c r="R35" s="10" t="s">
        <v>363</v>
      </c>
      <c r="S35" s="10" t="s">
        <v>364</v>
      </c>
      <c r="T35" s="12"/>
      <c r="U35" s="12"/>
    </row>
    <row r="36" customFormat="false" ht="240" hidden="false" customHeight="true" outlineLevel="0" collapsed="false">
      <c r="A36" s="10" t="n">
        <v>34</v>
      </c>
      <c r="B36" s="10" t="s">
        <v>338</v>
      </c>
      <c r="C36" s="10" t="s">
        <v>365</v>
      </c>
      <c r="D36" s="14" t="s">
        <v>166</v>
      </c>
      <c r="E36" s="10" t="s">
        <v>366</v>
      </c>
      <c r="F36" s="10" t="s">
        <v>367</v>
      </c>
      <c r="G36" s="10" t="s">
        <v>368</v>
      </c>
      <c r="H36" s="10" t="s">
        <v>369</v>
      </c>
      <c r="I36" s="10" t="s">
        <v>71</v>
      </c>
      <c r="J36" s="10" t="s">
        <v>71</v>
      </c>
      <c r="K36" s="10" t="s">
        <v>370</v>
      </c>
      <c r="L36" s="10" t="s">
        <v>371</v>
      </c>
      <c r="M36" s="10" t="s">
        <v>372</v>
      </c>
      <c r="N36" s="10" t="s">
        <v>62</v>
      </c>
      <c r="O36" s="10" t="s">
        <v>75</v>
      </c>
      <c r="P36" s="10" t="s">
        <v>62</v>
      </c>
      <c r="Q36" s="10" t="s">
        <v>62</v>
      </c>
      <c r="R36" s="10" t="s">
        <v>62</v>
      </c>
      <c r="S36" s="10" t="s">
        <v>373</v>
      </c>
      <c r="T36" s="12"/>
      <c r="U36" s="12"/>
    </row>
    <row r="37" customFormat="false" ht="210" hidden="false" customHeight="true" outlineLevel="0" collapsed="false">
      <c r="A37" s="10" t="n">
        <v>35</v>
      </c>
      <c r="B37" s="10" t="s">
        <v>319</v>
      </c>
      <c r="C37" s="10" t="s">
        <v>374</v>
      </c>
      <c r="D37" s="14" t="s">
        <v>166</v>
      </c>
      <c r="E37" s="10" t="s">
        <v>375</v>
      </c>
      <c r="F37" s="10" t="s">
        <v>234</v>
      </c>
      <c r="G37" s="10" t="s">
        <v>169</v>
      </c>
      <c r="H37" s="10" t="s">
        <v>281</v>
      </c>
      <c r="I37" s="10" t="s">
        <v>159</v>
      </c>
      <c r="J37" s="10" t="s">
        <v>59</v>
      </c>
      <c r="K37" s="10" t="s">
        <v>160</v>
      </c>
      <c r="L37" s="10" t="s">
        <v>376</v>
      </c>
      <c r="M37" s="10" t="s">
        <v>62</v>
      </c>
      <c r="N37" s="10" t="s">
        <v>62</v>
      </c>
      <c r="O37" s="10" t="s">
        <v>75</v>
      </c>
      <c r="P37" s="10" t="s">
        <v>62</v>
      </c>
      <c r="Q37" s="10" t="s">
        <v>325</v>
      </c>
      <c r="R37" s="10" t="s">
        <v>326</v>
      </c>
      <c r="S37" s="10" t="s">
        <v>377</v>
      </c>
      <c r="T37" s="12"/>
      <c r="U37" s="12"/>
    </row>
    <row r="38" customFormat="false" ht="223.5" hidden="false" customHeight="true" outlineLevel="0" collapsed="false">
      <c r="A38" s="10" t="n">
        <v>36</v>
      </c>
      <c r="B38" s="10" t="s">
        <v>338</v>
      </c>
      <c r="C38" s="10" t="s">
        <v>378</v>
      </c>
      <c r="D38" s="15" t="s">
        <v>178</v>
      </c>
      <c r="E38" s="10" t="s">
        <v>379</v>
      </c>
      <c r="F38" s="10" t="s">
        <v>254</v>
      </c>
      <c r="G38" s="10" t="s">
        <v>203</v>
      </c>
      <c r="H38" s="10" t="s">
        <v>256</v>
      </c>
      <c r="I38" s="10" t="s">
        <v>257</v>
      </c>
      <c r="J38" s="10" t="s">
        <v>206</v>
      </c>
      <c r="K38" s="10" t="s">
        <v>207</v>
      </c>
      <c r="L38" s="10" t="s">
        <v>380</v>
      </c>
      <c r="M38" s="10" t="s">
        <v>62</v>
      </c>
      <c r="N38" s="10" t="s">
        <v>62</v>
      </c>
      <c r="O38" s="10" t="s">
        <v>89</v>
      </c>
      <c r="P38" s="10" t="s">
        <v>62</v>
      </c>
      <c r="Q38" s="10" t="s">
        <v>62</v>
      </c>
      <c r="R38" s="10" t="s">
        <v>62</v>
      </c>
      <c r="S38" s="10" t="s">
        <v>315</v>
      </c>
      <c r="T38" s="12"/>
      <c r="U38" s="12"/>
    </row>
    <row r="39" customFormat="false" ht="223.5" hidden="false" customHeight="true" outlineLevel="0" collapsed="false">
      <c r="A39" s="10" t="n">
        <v>37</v>
      </c>
      <c r="B39" s="10" t="s">
        <v>338</v>
      </c>
      <c r="C39" s="10" t="s">
        <v>381</v>
      </c>
      <c r="D39" s="15" t="s">
        <v>178</v>
      </c>
      <c r="E39" s="10" t="s">
        <v>382</v>
      </c>
      <c r="F39" s="10" t="s">
        <v>383</v>
      </c>
      <c r="G39" s="10" t="s">
        <v>203</v>
      </c>
      <c r="H39" s="10" t="s">
        <v>384</v>
      </c>
      <c r="I39" s="10" t="s">
        <v>257</v>
      </c>
      <c r="J39" s="10" t="s">
        <v>206</v>
      </c>
      <c r="K39" s="10" t="s">
        <v>207</v>
      </c>
      <c r="L39" s="10" t="s">
        <v>385</v>
      </c>
      <c r="M39" s="10" t="s">
        <v>62</v>
      </c>
      <c r="N39" s="10" t="s">
        <v>62</v>
      </c>
      <c r="O39" s="10" t="s">
        <v>89</v>
      </c>
      <c r="P39" s="10" t="s">
        <v>62</v>
      </c>
      <c r="Q39" s="10" t="s">
        <v>62</v>
      </c>
      <c r="R39" s="10" t="s">
        <v>62</v>
      </c>
      <c r="S39" s="10" t="s">
        <v>386</v>
      </c>
      <c r="T39" s="12"/>
      <c r="U39" s="12"/>
    </row>
    <row r="40" customFormat="false" ht="168" hidden="false" customHeight="true" outlineLevel="0" collapsed="false">
      <c r="A40" s="10" t="n">
        <v>38</v>
      </c>
      <c r="B40" s="10" t="s">
        <v>338</v>
      </c>
      <c r="C40" s="10" t="s">
        <v>387</v>
      </c>
      <c r="D40" s="13" t="s">
        <v>111</v>
      </c>
      <c r="E40" s="10" t="s">
        <v>388</v>
      </c>
      <c r="F40" s="10" t="s">
        <v>389</v>
      </c>
      <c r="G40" s="10" t="s">
        <v>203</v>
      </c>
      <c r="H40" s="10" t="s">
        <v>256</v>
      </c>
      <c r="I40" s="10" t="s">
        <v>257</v>
      </c>
      <c r="J40" s="10" t="s">
        <v>206</v>
      </c>
      <c r="K40" s="10" t="s">
        <v>207</v>
      </c>
      <c r="L40" s="10" t="s">
        <v>390</v>
      </c>
      <c r="M40" s="10" t="s">
        <v>62</v>
      </c>
      <c r="N40" s="10" t="s">
        <v>62</v>
      </c>
      <c r="O40" s="10" t="s">
        <v>62</v>
      </c>
      <c r="P40" s="10" t="s">
        <v>209</v>
      </c>
      <c r="Q40" s="10" t="s">
        <v>62</v>
      </c>
      <c r="R40" s="10" t="s">
        <v>62</v>
      </c>
      <c r="S40" s="10" t="s">
        <v>391</v>
      </c>
      <c r="T40" s="12"/>
      <c r="U40" s="12"/>
    </row>
    <row r="41" customFormat="false" ht="210" hidden="false" customHeight="true" outlineLevel="0" collapsed="false">
      <c r="A41" s="10" t="n">
        <v>39</v>
      </c>
      <c r="B41" s="10" t="s">
        <v>392</v>
      </c>
      <c r="C41" s="10" t="s">
        <v>393</v>
      </c>
      <c r="D41" s="11" t="s">
        <v>53</v>
      </c>
      <c r="E41" s="10" t="s">
        <v>394</v>
      </c>
      <c r="F41" s="10" t="s">
        <v>395</v>
      </c>
      <c r="G41" s="10" t="s">
        <v>396</v>
      </c>
      <c r="H41" s="10" t="s">
        <v>397</v>
      </c>
      <c r="I41" s="10" t="s">
        <v>398</v>
      </c>
      <c r="J41" s="10" t="s">
        <v>399</v>
      </c>
      <c r="K41" s="10" t="s">
        <v>400</v>
      </c>
      <c r="L41" s="10" t="s">
        <v>401</v>
      </c>
      <c r="M41" s="10" t="s">
        <v>62</v>
      </c>
      <c r="N41" s="10" t="s">
        <v>62</v>
      </c>
      <c r="O41" s="10" t="s">
        <v>89</v>
      </c>
      <c r="P41" s="10" t="s">
        <v>62</v>
      </c>
      <c r="Q41" s="10" t="s">
        <v>402</v>
      </c>
      <c r="R41" s="10" t="s">
        <v>403</v>
      </c>
      <c r="S41" s="10" t="s">
        <v>404</v>
      </c>
      <c r="T41" s="12"/>
      <c r="U41" s="12"/>
    </row>
    <row r="42" customFormat="false" ht="168" hidden="false" customHeight="true" outlineLevel="0" collapsed="false">
      <c r="A42" s="10" t="n">
        <v>40</v>
      </c>
      <c r="B42" s="10" t="s">
        <v>405</v>
      </c>
      <c r="C42" s="10" t="s">
        <v>406</v>
      </c>
      <c r="D42" s="14" t="s">
        <v>166</v>
      </c>
      <c r="E42" s="10" t="s">
        <v>407</v>
      </c>
      <c r="F42" s="10" t="s">
        <v>408</v>
      </c>
      <c r="G42" s="10" t="s">
        <v>409</v>
      </c>
      <c r="H42" s="10" t="s">
        <v>410</v>
      </c>
      <c r="I42" s="10" t="s">
        <v>159</v>
      </c>
      <c r="J42" s="10" t="s">
        <v>59</v>
      </c>
      <c r="K42" s="10" t="s">
        <v>160</v>
      </c>
      <c r="L42" s="10" t="s">
        <v>411</v>
      </c>
      <c r="M42" s="10" t="s">
        <v>62</v>
      </c>
      <c r="N42" s="10" t="s">
        <v>62</v>
      </c>
      <c r="O42" s="10" t="s">
        <v>63</v>
      </c>
      <c r="P42" s="10" t="s">
        <v>62</v>
      </c>
      <c r="Q42" s="10" t="s">
        <v>412</v>
      </c>
      <c r="R42" s="10" t="s">
        <v>413</v>
      </c>
      <c r="S42" s="10" t="s">
        <v>240</v>
      </c>
      <c r="T42" s="12"/>
      <c r="U42" s="12"/>
    </row>
    <row r="43" customFormat="false" ht="240" hidden="false" customHeight="true" outlineLevel="0" collapsed="false">
      <c r="A43" s="10" t="n">
        <v>41</v>
      </c>
      <c r="B43" s="10" t="s">
        <v>405</v>
      </c>
      <c r="C43" s="10" t="s">
        <v>414</v>
      </c>
      <c r="D43" s="14" t="s">
        <v>166</v>
      </c>
      <c r="E43" s="10" t="s">
        <v>415</v>
      </c>
      <c r="F43" s="10" t="s">
        <v>416</v>
      </c>
      <c r="G43" s="10" t="s">
        <v>417</v>
      </c>
      <c r="H43" s="10" t="s">
        <v>71</v>
      </c>
      <c r="I43" s="10" t="s">
        <v>418</v>
      </c>
      <c r="J43" s="10" t="s">
        <v>344</v>
      </c>
      <c r="K43" s="10" t="s">
        <v>419</v>
      </c>
      <c r="L43" s="10" t="s">
        <v>420</v>
      </c>
      <c r="M43" s="10" t="s">
        <v>372</v>
      </c>
      <c r="N43" s="10" t="s">
        <v>62</v>
      </c>
      <c r="O43" s="10" t="s">
        <v>421</v>
      </c>
      <c r="P43" s="10" t="s">
        <v>62</v>
      </c>
      <c r="Q43" s="10" t="s">
        <v>62</v>
      </c>
      <c r="R43" s="10" t="s">
        <v>62</v>
      </c>
      <c r="S43" s="10" t="s">
        <v>422</v>
      </c>
      <c r="T43" s="12"/>
      <c r="U43" s="12"/>
    </row>
    <row r="44" customFormat="false" ht="181.5" hidden="false" customHeight="true" outlineLevel="0" collapsed="false">
      <c r="A44" s="10" t="n">
        <v>42</v>
      </c>
      <c r="B44" s="10" t="s">
        <v>405</v>
      </c>
      <c r="C44" s="10" t="s">
        <v>423</v>
      </c>
      <c r="D44" s="14" t="s">
        <v>166</v>
      </c>
      <c r="E44" s="10" t="s">
        <v>424</v>
      </c>
      <c r="F44" s="10" t="s">
        <v>425</v>
      </c>
      <c r="G44" s="10" t="s">
        <v>169</v>
      </c>
      <c r="H44" s="10" t="s">
        <v>281</v>
      </c>
      <c r="I44" s="10" t="s">
        <v>159</v>
      </c>
      <c r="J44" s="10" t="s">
        <v>59</v>
      </c>
      <c r="K44" s="10" t="s">
        <v>160</v>
      </c>
      <c r="L44" s="10" t="s">
        <v>426</v>
      </c>
      <c r="M44" s="10" t="s">
        <v>62</v>
      </c>
      <c r="N44" s="10" t="s">
        <v>62</v>
      </c>
      <c r="O44" s="10" t="s">
        <v>421</v>
      </c>
      <c r="P44" s="10" t="s">
        <v>62</v>
      </c>
      <c r="Q44" s="10" t="s">
        <v>427</v>
      </c>
      <c r="R44" s="10" t="s">
        <v>428</v>
      </c>
      <c r="S44" s="10" t="s">
        <v>429</v>
      </c>
      <c r="T44" s="12"/>
      <c r="U44" s="12"/>
    </row>
    <row r="45" customFormat="false" ht="111.75" hidden="false" customHeight="true" outlineLevel="0" collapsed="false">
      <c r="A45" s="10" t="n">
        <v>43</v>
      </c>
      <c r="B45" s="10" t="s">
        <v>405</v>
      </c>
      <c r="C45" s="10" t="s">
        <v>430</v>
      </c>
      <c r="D45" s="15" t="s">
        <v>178</v>
      </c>
      <c r="E45" s="10" t="s">
        <v>431</v>
      </c>
      <c r="F45" s="10" t="s">
        <v>254</v>
      </c>
      <c r="G45" s="10" t="s">
        <v>203</v>
      </c>
      <c r="H45" s="10" t="s">
        <v>256</v>
      </c>
      <c r="I45" s="10" t="s">
        <v>257</v>
      </c>
      <c r="J45" s="10" t="s">
        <v>206</v>
      </c>
      <c r="K45" s="10" t="s">
        <v>207</v>
      </c>
      <c r="L45" s="10" t="s">
        <v>432</v>
      </c>
      <c r="M45" s="10" t="s">
        <v>62</v>
      </c>
      <c r="N45" s="10" t="s">
        <v>62</v>
      </c>
      <c r="O45" s="10" t="s">
        <v>89</v>
      </c>
      <c r="P45" s="10" t="s">
        <v>62</v>
      </c>
      <c r="Q45" s="10" t="s">
        <v>62</v>
      </c>
      <c r="R45" s="10" t="s">
        <v>62</v>
      </c>
      <c r="S45" s="10" t="s">
        <v>433</v>
      </c>
      <c r="T45" s="12"/>
      <c r="U45" s="12"/>
    </row>
    <row r="46" customFormat="false" ht="168" hidden="false" customHeight="true" outlineLevel="0" collapsed="false">
      <c r="A46" s="10" t="n">
        <v>44</v>
      </c>
      <c r="B46" s="10" t="s">
        <v>392</v>
      </c>
      <c r="C46" s="10" t="s">
        <v>434</v>
      </c>
      <c r="D46" s="13" t="s">
        <v>111</v>
      </c>
      <c r="E46" s="10" t="s">
        <v>435</v>
      </c>
      <c r="F46" s="10" t="s">
        <v>436</v>
      </c>
      <c r="G46" s="10" t="s">
        <v>169</v>
      </c>
      <c r="H46" s="10" t="s">
        <v>281</v>
      </c>
      <c r="I46" s="10" t="s">
        <v>437</v>
      </c>
      <c r="J46" s="10" t="s">
        <v>59</v>
      </c>
      <c r="K46" s="10" t="s">
        <v>160</v>
      </c>
      <c r="L46" s="10" t="s">
        <v>438</v>
      </c>
      <c r="M46" s="10" t="s">
        <v>62</v>
      </c>
      <c r="N46" s="10" t="s">
        <v>62</v>
      </c>
      <c r="O46" s="10" t="s">
        <v>62</v>
      </c>
      <c r="P46" s="10" t="s">
        <v>284</v>
      </c>
      <c r="Q46" s="10" t="s">
        <v>62</v>
      </c>
      <c r="R46" s="10" t="s">
        <v>62</v>
      </c>
      <c r="S46" s="10" t="s">
        <v>285</v>
      </c>
      <c r="T46" s="12"/>
      <c r="U46" s="12"/>
    </row>
    <row r="47" customFormat="false" ht="181.5" hidden="false" customHeight="true" outlineLevel="0" collapsed="false">
      <c r="A47" s="10" t="n">
        <v>45</v>
      </c>
      <c r="B47" s="10" t="s">
        <v>439</v>
      </c>
      <c r="C47" s="10" t="s">
        <v>440</v>
      </c>
      <c r="D47" s="14" t="s">
        <v>166</v>
      </c>
      <c r="E47" s="10" t="s">
        <v>441</v>
      </c>
      <c r="F47" s="10" t="s">
        <v>442</v>
      </c>
      <c r="G47" s="10" t="s">
        <v>169</v>
      </c>
      <c r="H47" s="10" t="s">
        <v>281</v>
      </c>
      <c r="I47" s="10" t="s">
        <v>159</v>
      </c>
      <c r="J47" s="10" t="s">
        <v>59</v>
      </c>
      <c r="K47" s="10" t="s">
        <v>443</v>
      </c>
      <c r="L47" s="10" t="s">
        <v>444</v>
      </c>
      <c r="M47" s="10" t="s">
        <v>88</v>
      </c>
      <c r="N47" s="10" t="s">
        <v>62</v>
      </c>
      <c r="O47" s="10" t="s">
        <v>89</v>
      </c>
      <c r="P47" s="10" t="s">
        <v>62</v>
      </c>
      <c r="Q47" s="10" t="s">
        <v>445</v>
      </c>
      <c r="R47" s="10" t="s">
        <v>446</v>
      </c>
      <c r="S47" s="10" t="s">
        <v>447</v>
      </c>
      <c r="T47" s="12"/>
      <c r="U47" s="12"/>
    </row>
    <row r="48" customFormat="false" ht="195.75" hidden="false" customHeight="true" outlineLevel="0" collapsed="false">
      <c r="A48" s="10" t="n">
        <v>46</v>
      </c>
      <c r="B48" s="10" t="s">
        <v>448</v>
      </c>
      <c r="C48" s="10" t="s">
        <v>449</v>
      </c>
      <c r="D48" s="14" t="s">
        <v>166</v>
      </c>
      <c r="E48" s="10" t="s">
        <v>450</v>
      </c>
      <c r="F48" s="10" t="s">
        <v>451</v>
      </c>
      <c r="G48" s="10" t="s">
        <v>169</v>
      </c>
      <c r="H48" s="10" t="s">
        <v>281</v>
      </c>
      <c r="I48" s="10" t="s">
        <v>452</v>
      </c>
      <c r="J48" s="10" t="s">
        <v>59</v>
      </c>
      <c r="K48" s="10" t="s">
        <v>453</v>
      </c>
      <c r="L48" s="10" t="s">
        <v>454</v>
      </c>
      <c r="M48" s="10" t="s">
        <v>455</v>
      </c>
      <c r="N48" s="10" t="s">
        <v>62</v>
      </c>
      <c r="O48" s="10" t="s">
        <v>89</v>
      </c>
      <c r="P48" s="10" t="s">
        <v>62</v>
      </c>
      <c r="Q48" s="10" t="s">
        <v>456</v>
      </c>
      <c r="R48" s="10" t="s">
        <v>457</v>
      </c>
      <c r="S48" s="10" t="s">
        <v>458</v>
      </c>
      <c r="T48" s="12"/>
      <c r="U48" s="12"/>
    </row>
    <row r="49" customFormat="false" ht="111.75" hidden="false" customHeight="true" outlineLevel="0" collapsed="false">
      <c r="A49" s="10" t="n">
        <v>47</v>
      </c>
      <c r="B49" s="10" t="s">
        <v>448</v>
      </c>
      <c r="C49" s="10" t="s">
        <v>459</v>
      </c>
      <c r="D49" s="15" t="s">
        <v>178</v>
      </c>
      <c r="E49" s="10" t="s">
        <v>460</v>
      </c>
      <c r="F49" s="10" t="s">
        <v>461</v>
      </c>
      <c r="G49" s="10" t="s">
        <v>462</v>
      </c>
      <c r="H49" s="10" t="s">
        <v>281</v>
      </c>
      <c r="I49" s="10" t="s">
        <v>159</v>
      </c>
      <c r="J49" s="10" t="s">
        <v>59</v>
      </c>
      <c r="K49" s="10" t="s">
        <v>160</v>
      </c>
      <c r="L49" s="10" t="s">
        <v>463</v>
      </c>
      <c r="M49" s="10" t="s">
        <v>62</v>
      </c>
      <c r="N49" s="10" t="s">
        <v>62</v>
      </c>
      <c r="O49" s="10" t="s">
        <v>89</v>
      </c>
      <c r="P49" s="10" t="s">
        <v>62</v>
      </c>
      <c r="Q49" s="10" t="s">
        <v>62</v>
      </c>
      <c r="R49" s="10" t="s">
        <v>62</v>
      </c>
      <c r="S49" s="10" t="s">
        <v>315</v>
      </c>
      <c r="T49" s="12"/>
      <c r="U49" s="12"/>
    </row>
    <row r="50" customFormat="false" ht="168" hidden="false" customHeight="true" outlineLevel="0" collapsed="false">
      <c r="A50" s="10" t="n">
        <v>48</v>
      </c>
      <c r="B50" s="10" t="s">
        <v>448</v>
      </c>
      <c r="C50" s="10" t="s">
        <v>464</v>
      </c>
      <c r="D50" s="13" t="s">
        <v>111</v>
      </c>
      <c r="E50" s="10" t="s">
        <v>465</v>
      </c>
      <c r="F50" s="10" t="s">
        <v>254</v>
      </c>
      <c r="G50" s="10" t="s">
        <v>203</v>
      </c>
      <c r="H50" s="10" t="s">
        <v>256</v>
      </c>
      <c r="I50" s="10" t="s">
        <v>257</v>
      </c>
      <c r="J50" s="10" t="s">
        <v>206</v>
      </c>
      <c r="K50" s="10" t="s">
        <v>466</v>
      </c>
      <c r="L50" s="10" t="s">
        <v>467</v>
      </c>
      <c r="M50" s="10" t="s">
        <v>62</v>
      </c>
      <c r="N50" s="10" t="s">
        <v>62</v>
      </c>
      <c r="O50" s="10" t="s">
        <v>62</v>
      </c>
      <c r="P50" s="10" t="s">
        <v>468</v>
      </c>
      <c r="Q50" s="10" t="s">
        <v>62</v>
      </c>
      <c r="R50" s="10" t="s">
        <v>62</v>
      </c>
      <c r="S50" s="10" t="s">
        <v>469</v>
      </c>
      <c r="T50" s="12"/>
      <c r="U50" s="12"/>
    </row>
    <row r="51" customFormat="false" ht="181.5" hidden="false" customHeight="true" outlineLevel="0" collapsed="false">
      <c r="A51" s="10" t="n">
        <v>49</v>
      </c>
      <c r="B51" s="10" t="s">
        <v>470</v>
      </c>
      <c r="C51" s="10" t="s">
        <v>471</v>
      </c>
      <c r="D51" s="14" t="s">
        <v>166</v>
      </c>
      <c r="E51" s="10" t="s">
        <v>472</v>
      </c>
      <c r="F51" s="10" t="s">
        <v>473</v>
      </c>
      <c r="G51" s="10" t="s">
        <v>474</v>
      </c>
      <c r="H51" s="10" t="s">
        <v>475</v>
      </c>
      <c r="I51" s="10" t="s">
        <v>476</v>
      </c>
      <c r="J51" s="10" t="s">
        <v>59</v>
      </c>
      <c r="K51" s="10" t="s">
        <v>160</v>
      </c>
      <c r="L51" s="10" t="s">
        <v>477</v>
      </c>
      <c r="M51" s="10" t="s">
        <v>62</v>
      </c>
      <c r="N51" s="10" t="s">
        <v>62</v>
      </c>
      <c r="O51" s="10" t="s">
        <v>63</v>
      </c>
      <c r="P51" s="10" t="s">
        <v>62</v>
      </c>
      <c r="Q51" s="10" t="s">
        <v>478</v>
      </c>
      <c r="R51" s="10" t="s">
        <v>479</v>
      </c>
      <c r="S51" s="10" t="s">
        <v>480</v>
      </c>
      <c r="T51" s="12"/>
      <c r="U51" s="12"/>
    </row>
    <row r="52" customFormat="false" ht="126" hidden="false" customHeight="true" outlineLevel="0" collapsed="false">
      <c r="A52" s="10" t="n">
        <v>50</v>
      </c>
      <c r="B52" s="10" t="s">
        <v>470</v>
      </c>
      <c r="C52" s="10" t="s">
        <v>481</v>
      </c>
      <c r="D52" s="15" t="s">
        <v>178</v>
      </c>
      <c r="E52" s="10" t="s">
        <v>482</v>
      </c>
      <c r="F52" s="10" t="s">
        <v>254</v>
      </c>
      <c r="G52" s="10" t="s">
        <v>483</v>
      </c>
      <c r="H52" s="10" t="s">
        <v>484</v>
      </c>
      <c r="I52" s="10" t="s">
        <v>257</v>
      </c>
      <c r="J52" s="10" t="s">
        <v>206</v>
      </c>
      <c r="K52" s="10" t="s">
        <v>207</v>
      </c>
      <c r="L52" s="10" t="s">
        <v>485</v>
      </c>
      <c r="M52" s="10" t="s">
        <v>62</v>
      </c>
      <c r="N52" s="10" t="s">
        <v>62</v>
      </c>
      <c r="O52" s="10" t="s">
        <v>89</v>
      </c>
      <c r="P52" s="10" t="s">
        <v>62</v>
      </c>
      <c r="Q52" s="10" t="s">
        <v>62</v>
      </c>
      <c r="R52" s="10" t="s">
        <v>62</v>
      </c>
      <c r="S52" s="10" t="s">
        <v>315</v>
      </c>
      <c r="T52" s="12"/>
      <c r="U52" s="12"/>
    </row>
    <row r="53" customFormat="false" ht="195.75" hidden="false" customHeight="true" outlineLevel="0" collapsed="false">
      <c r="A53" s="10" t="n">
        <v>51</v>
      </c>
      <c r="B53" s="10" t="s">
        <v>470</v>
      </c>
      <c r="C53" s="10" t="s">
        <v>486</v>
      </c>
      <c r="D53" s="13" t="s">
        <v>111</v>
      </c>
      <c r="E53" s="10" t="s">
        <v>487</v>
      </c>
      <c r="F53" s="10" t="s">
        <v>234</v>
      </c>
      <c r="G53" s="10" t="s">
        <v>488</v>
      </c>
      <c r="H53" s="10" t="s">
        <v>489</v>
      </c>
      <c r="I53" s="10" t="s">
        <v>490</v>
      </c>
      <c r="J53" s="10" t="s">
        <v>59</v>
      </c>
      <c r="K53" s="10" t="s">
        <v>160</v>
      </c>
      <c r="L53" s="10" t="s">
        <v>491</v>
      </c>
      <c r="M53" s="10" t="s">
        <v>62</v>
      </c>
      <c r="N53" s="10" t="s">
        <v>62</v>
      </c>
      <c r="O53" s="10" t="s">
        <v>62</v>
      </c>
      <c r="P53" s="10" t="s">
        <v>284</v>
      </c>
      <c r="Q53" s="10" t="s">
        <v>62</v>
      </c>
      <c r="R53" s="10" t="s">
        <v>62</v>
      </c>
      <c r="S53" s="10" t="s">
        <v>285</v>
      </c>
      <c r="T53" s="12"/>
      <c r="U53" s="12"/>
    </row>
    <row r="54" customFormat="false" ht="210" hidden="false" customHeight="true" outlineLevel="0" collapsed="false">
      <c r="A54" s="10" t="n">
        <v>52</v>
      </c>
      <c r="B54" s="10" t="s">
        <v>492</v>
      </c>
      <c r="C54" s="10" t="s">
        <v>493</v>
      </c>
      <c r="D54" s="14" t="s">
        <v>166</v>
      </c>
      <c r="E54" s="10" t="s">
        <v>494</v>
      </c>
      <c r="F54" s="10" t="s">
        <v>495</v>
      </c>
      <c r="G54" s="10" t="s">
        <v>169</v>
      </c>
      <c r="H54" s="10" t="s">
        <v>496</v>
      </c>
      <c r="I54" s="10" t="s">
        <v>159</v>
      </c>
      <c r="J54" s="10" t="s">
        <v>59</v>
      </c>
      <c r="K54" s="10" t="s">
        <v>160</v>
      </c>
      <c r="L54" s="10" t="s">
        <v>497</v>
      </c>
      <c r="M54" s="10" t="s">
        <v>62</v>
      </c>
      <c r="N54" s="10" t="s">
        <v>62</v>
      </c>
      <c r="O54" s="10" t="s">
        <v>89</v>
      </c>
      <c r="P54" s="10" t="s">
        <v>62</v>
      </c>
      <c r="Q54" s="10" t="s">
        <v>498</v>
      </c>
      <c r="R54" s="10" t="s">
        <v>499</v>
      </c>
      <c r="S54" s="10" t="s">
        <v>500</v>
      </c>
      <c r="T54" s="12"/>
      <c r="U54" s="12"/>
    </row>
    <row r="55" customFormat="false" ht="181.5" hidden="false" customHeight="true" outlineLevel="0" collapsed="false">
      <c r="A55" s="10" t="n">
        <v>53</v>
      </c>
      <c r="B55" s="10" t="s">
        <v>501</v>
      </c>
      <c r="C55" s="10" t="s">
        <v>502</v>
      </c>
      <c r="D55" s="15" t="s">
        <v>178</v>
      </c>
      <c r="E55" s="10" t="s">
        <v>503</v>
      </c>
      <c r="F55" s="10" t="s">
        <v>504</v>
      </c>
      <c r="G55" s="10" t="s">
        <v>203</v>
      </c>
      <c r="H55" s="10" t="s">
        <v>505</v>
      </c>
      <c r="I55" s="10" t="s">
        <v>257</v>
      </c>
      <c r="J55" s="10" t="s">
        <v>206</v>
      </c>
      <c r="K55" s="10" t="s">
        <v>207</v>
      </c>
      <c r="L55" s="10" t="s">
        <v>506</v>
      </c>
      <c r="M55" s="10" t="s">
        <v>62</v>
      </c>
      <c r="N55" s="10" t="s">
        <v>62</v>
      </c>
      <c r="O55" s="10" t="s">
        <v>89</v>
      </c>
      <c r="P55" s="10" t="s">
        <v>62</v>
      </c>
      <c r="Q55" s="10" t="s">
        <v>507</v>
      </c>
      <c r="R55" s="10" t="s">
        <v>508</v>
      </c>
      <c r="S55" s="10" t="s">
        <v>315</v>
      </c>
      <c r="T55" s="12"/>
      <c r="U55" s="12"/>
    </row>
    <row r="56" customFormat="false" ht="153.75" hidden="false" customHeight="true" outlineLevel="0" collapsed="false">
      <c r="A56" s="10" t="n">
        <v>54</v>
      </c>
      <c r="B56" s="10" t="s">
        <v>501</v>
      </c>
      <c r="C56" s="10" t="s">
        <v>509</v>
      </c>
      <c r="D56" s="13" t="s">
        <v>111</v>
      </c>
      <c r="E56" s="10" t="s">
        <v>510</v>
      </c>
      <c r="F56" s="10" t="s">
        <v>254</v>
      </c>
      <c r="G56" s="10" t="s">
        <v>203</v>
      </c>
      <c r="H56" s="10" t="s">
        <v>256</v>
      </c>
      <c r="I56" s="10" t="s">
        <v>257</v>
      </c>
      <c r="J56" s="10" t="s">
        <v>206</v>
      </c>
      <c r="K56" s="10" t="s">
        <v>207</v>
      </c>
      <c r="L56" s="10" t="s">
        <v>511</v>
      </c>
      <c r="M56" s="10" t="s">
        <v>62</v>
      </c>
      <c r="N56" s="10" t="s">
        <v>62</v>
      </c>
      <c r="O56" s="10" t="s">
        <v>62</v>
      </c>
      <c r="P56" s="10" t="s">
        <v>209</v>
      </c>
      <c r="Q56" s="10" t="s">
        <v>62</v>
      </c>
      <c r="R56" s="10" t="s">
        <v>62</v>
      </c>
      <c r="S56" s="10" t="s">
        <v>285</v>
      </c>
      <c r="T56" s="12"/>
      <c r="U56" s="12"/>
    </row>
    <row r="57" customFormat="false" ht="240" hidden="false" customHeight="true" outlineLevel="0" collapsed="false">
      <c r="A57" s="10" t="n">
        <v>55</v>
      </c>
      <c r="B57" s="10" t="s">
        <v>512</v>
      </c>
      <c r="C57" s="10" t="s">
        <v>513</v>
      </c>
      <c r="D57" s="11" t="s">
        <v>53</v>
      </c>
      <c r="E57" s="10" t="s">
        <v>514</v>
      </c>
      <c r="F57" s="10" t="s">
        <v>515</v>
      </c>
      <c r="G57" s="10" t="s">
        <v>516</v>
      </c>
      <c r="H57" s="10" t="s">
        <v>517</v>
      </c>
      <c r="I57" s="10" t="s">
        <v>518</v>
      </c>
      <c r="J57" s="10" t="s">
        <v>519</v>
      </c>
      <c r="K57" s="10" t="s">
        <v>520</v>
      </c>
      <c r="L57" s="10" t="s">
        <v>521</v>
      </c>
      <c r="M57" s="10" t="s">
        <v>522</v>
      </c>
      <c r="N57" s="10" t="s">
        <v>62</v>
      </c>
      <c r="O57" s="10" t="s">
        <v>523</v>
      </c>
      <c r="P57" s="10" t="s">
        <v>62</v>
      </c>
      <c r="Q57" s="10" t="s">
        <v>524</v>
      </c>
      <c r="R57" s="10" t="s">
        <v>525</v>
      </c>
      <c r="S57" s="10" t="s">
        <v>526</v>
      </c>
      <c r="T57" s="12"/>
      <c r="U57" s="12"/>
    </row>
    <row r="58" customFormat="false" ht="210" hidden="false" customHeight="true" outlineLevel="0" collapsed="false">
      <c r="A58" s="10" t="n">
        <v>56</v>
      </c>
      <c r="B58" s="10" t="s">
        <v>527</v>
      </c>
      <c r="C58" s="10" t="s">
        <v>528</v>
      </c>
      <c r="D58" s="11" t="s">
        <v>53</v>
      </c>
      <c r="E58" s="10" t="s">
        <v>529</v>
      </c>
      <c r="F58" s="10" t="s">
        <v>530</v>
      </c>
      <c r="G58" s="10" t="s">
        <v>531</v>
      </c>
      <c r="H58" s="10" t="s">
        <v>145</v>
      </c>
      <c r="I58" s="10" t="s">
        <v>532</v>
      </c>
      <c r="J58" s="10" t="s">
        <v>533</v>
      </c>
      <c r="K58" s="10" t="s">
        <v>534</v>
      </c>
      <c r="L58" s="10" t="s">
        <v>535</v>
      </c>
      <c r="M58" s="10" t="s">
        <v>88</v>
      </c>
      <c r="N58" s="10" t="s">
        <v>62</v>
      </c>
      <c r="O58" s="10" t="s">
        <v>523</v>
      </c>
      <c r="P58" s="10" t="s">
        <v>62</v>
      </c>
      <c r="Q58" s="10" t="s">
        <v>536</v>
      </c>
      <c r="R58" s="10" t="s">
        <v>537</v>
      </c>
      <c r="S58" s="10" t="s">
        <v>538</v>
      </c>
      <c r="T58" s="12"/>
      <c r="U58" s="12"/>
    </row>
    <row r="59" customFormat="false" ht="195.75" hidden="false" customHeight="true" outlineLevel="0" collapsed="false">
      <c r="A59" s="10" t="n">
        <v>57</v>
      </c>
      <c r="B59" s="10" t="s">
        <v>527</v>
      </c>
      <c r="C59" s="10" t="s">
        <v>539</v>
      </c>
      <c r="D59" s="14" t="s">
        <v>166</v>
      </c>
      <c r="E59" s="10" t="s">
        <v>540</v>
      </c>
      <c r="F59" s="10" t="s">
        <v>541</v>
      </c>
      <c r="G59" s="10" t="s">
        <v>169</v>
      </c>
      <c r="H59" s="10" t="s">
        <v>542</v>
      </c>
      <c r="I59" s="10" t="s">
        <v>543</v>
      </c>
      <c r="J59" s="10" t="s">
        <v>544</v>
      </c>
      <c r="K59" s="10" t="s">
        <v>545</v>
      </c>
      <c r="L59" s="10" t="s">
        <v>546</v>
      </c>
      <c r="M59" s="10" t="s">
        <v>88</v>
      </c>
      <c r="N59" s="10" t="s">
        <v>547</v>
      </c>
      <c r="O59" s="10" t="s">
        <v>523</v>
      </c>
      <c r="P59" s="10" t="s">
        <v>62</v>
      </c>
      <c r="Q59" s="10" t="s">
        <v>548</v>
      </c>
      <c r="R59" s="10" t="s">
        <v>549</v>
      </c>
      <c r="S59" s="10" t="s">
        <v>550</v>
      </c>
      <c r="T59" s="12"/>
      <c r="U59" s="12"/>
    </row>
    <row r="60" customFormat="false" ht="240" hidden="false" customHeight="true" outlineLevel="0" collapsed="false">
      <c r="A60" s="10" t="n">
        <v>58</v>
      </c>
      <c r="B60" s="10" t="s">
        <v>527</v>
      </c>
      <c r="C60" s="10" t="s">
        <v>551</v>
      </c>
      <c r="D60" s="14" t="s">
        <v>166</v>
      </c>
      <c r="E60" s="10" t="s">
        <v>552</v>
      </c>
      <c r="F60" s="10" t="s">
        <v>295</v>
      </c>
      <c r="G60" s="10" t="s">
        <v>169</v>
      </c>
      <c r="H60" s="10" t="s">
        <v>542</v>
      </c>
      <c r="I60" s="10" t="s">
        <v>553</v>
      </c>
      <c r="J60" s="10" t="s">
        <v>554</v>
      </c>
      <c r="K60" s="10" t="s">
        <v>555</v>
      </c>
      <c r="L60" s="10" t="s">
        <v>556</v>
      </c>
      <c r="M60" s="10" t="s">
        <v>522</v>
      </c>
      <c r="N60" s="10" t="s">
        <v>62</v>
      </c>
      <c r="O60" s="10" t="s">
        <v>523</v>
      </c>
      <c r="P60" s="10" t="s">
        <v>62</v>
      </c>
      <c r="Q60" s="10" t="s">
        <v>557</v>
      </c>
      <c r="R60" s="10" t="s">
        <v>558</v>
      </c>
      <c r="S60" s="10" t="s">
        <v>559</v>
      </c>
      <c r="T60" s="12"/>
      <c r="U60" s="12"/>
    </row>
    <row r="61" customFormat="false" ht="237.75" hidden="false" customHeight="true" outlineLevel="0" collapsed="false">
      <c r="A61" s="10" t="n">
        <v>59</v>
      </c>
      <c r="B61" s="10" t="s">
        <v>527</v>
      </c>
      <c r="C61" s="10" t="s">
        <v>560</v>
      </c>
      <c r="D61" s="15" t="s">
        <v>178</v>
      </c>
      <c r="E61" s="10" t="s">
        <v>561</v>
      </c>
      <c r="F61" s="10" t="s">
        <v>234</v>
      </c>
      <c r="G61" s="10" t="s">
        <v>169</v>
      </c>
      <c r="H61" s="10" t="s">
        <v>281</v>
      </c>
      <c r="I61" s="10" t="s">
        <v>562</v>
      </c>
      <c r="J61" s="10" t="s">
        <v>59</v>
      </c>
      <c r="K61" s="10" t="s">
        <v>160</v>
      </c>
      <c r="L61" s="10" t="s">
        <v>563</v>
      </c>
      <c r="M61" s="10" t="s">
        <v>88</v>
      </c>
      <c r="N61" s="10" t="s">
        <v>62</v>
      </c>
      <c r="O61" s="10" t="s">
        <v>89</v>
      </c>
      <c r="P61" s="10" t="s">
        <v>62</v>
      </c>
      <c r="Q61" s="10" t="s">
        <v>564</v>
      </c>
      <c r="R61" s="10" t="s">
        <v>565</v>
      </c>
      <c r="S61" s="10" t="s">
        <v>566</v>
      </c>
      <c r="T61" s="12"/>
      <c r="U61" s="12"/>
    </row>
    <row r="62" customFormat="false" ht="181.5" hidden="false" customHeight="true" outlineLevel="0" collapsed="false">
      <c r="A62" s="10" t="n">
        <v>60</v>
      </c>
      <c r="B62" s="10" t="s">
        <v>567</v>
      </c>
      <c r="C62" s="10" t="s">
        <v>568</v>
      </c>
      <c r="D62" s="13" t="s">
        <v>111</v>
      </c>
      <c r="E62" s="10" t="s">
        <v>569</v>
      </c>
      <c r="F62" s="10" t="s">
        <v>570</v>
      </c>
      <c r="G62" s="10" t="s">
        <v>571</v>
      </c>
      <c r="H62" s="10" t="s">
        <v>572</v>
      </c>
      <c r="I62" s="10" t="s">
        <v>573</v>
      </c>
      <c r="J62" s="10" t="s">
        <v>344</v>
      </c>
      <c r="K62" s="10" t="s">
        <v>574</v>
      </c>
      <c r="L62" s="10" t="s">
        <v>575</v>
      </c>
      <c r="M62" s="10" t="s">
        <v>62</v>
      </c>
      <c r="N62" s="10" t="s">
        <v>62</v>
      </c>
      <c r="O62" s="10" t="s">
        <v>62</v>
      </c>
      <c r="P62" s="10" t="s">
        <v>576</v>
      </c>
      <c r="Q62" s="10" t="s">
        <v>62</v>
      </c>
      <c r="R62" s="10" t="s">
        <v>62</v>
      </c>
      <c r="S62" s="10" t="s">
        <v>577</v>
      </c>
      <c r="T62" s="12"/>
      <c r="U62" s="12"/>
    </row>
    <row r="63" customFormat="false" ht="240" hidden="false" customHeight="true" outlineLevel="0" collapsed="false">
      <c r="A63" s="10" t="n">
        <v>61</v>
      </c>
      <c r="B63" s="10" t="s">
        <v>578</v>
      </c>
      <c r="C63" s="10" t="s">
        <v>579</v>
      </c>
      <c r="D63" s="11" t="s">
        <v>53</v>
      </c>
      <c r="E63" s="10" t="s">
        <v>580</v>
      </c>
      <c r="F63" s="10" t="s">
        <v>581</v>
      </c>
      <c r="G63" s="10" t="s">
        <v>272</v>
      </c>
      <c r="H63" s="10" t="s">
        <v>296</v>
      </c>
      <c r="I63" s="10" t="s">
        <v>582</v>
      </c>
      <c r="J63" s="10" t="s">
        <v>583</v>
      </c>
      <c r="K63" s="10" t="s">
        <v>584</v>
      </c>
      <c r="L63" s="10" t="s">
        <v>585</v>
      </c>
      <c r="M63" s="10" t="s">
        <v>88</v>
      </c>
      <c r="N63" s="10" t="s">
        <v>62</v>
      </c>
      <c r="O63" s="10" t="s">
        <v>523</v>
      </c>
      <c r="P63" s="10" t="s">
        <v>62</v>
      </c>
      <c r="Q63" s="10" t="s">
        <v>586</v>
      </c>
      <c r="R63" s="10" t="s">
        <v>587</v>
      </c>
      <c r="S63" s="10" t="s">
        <v>538</v>
      </c>
      <c r="T63" s="12"/>
      <c r="U63" s="12"/>
    </row>
    <row r="64" customFormat="false" ht="240" hidden="false" customHeight="true" outlineLevel="0" collapsed="false">
      <c r="A64" s="10" t="n">
        <v>62</v>
      </c>
      <c r="B64" s="10" t="s">
        <v>578</v>
      </c>
      <c r="C64" s="10" t="s">
        <v>588</v>
      </c>
      <c r="D64" s="11" t="s">
        <v>53</v>
      </c>
      <c r="E64" s="10" t="s">
        <v>589</v>
      </c>
      <c r="F64" s="10" t="s">
        <v>590</v>
      </c>
      <c r="G64" s="10" t="s">
        <v>591</v>
      </c>
      <c r="H64" s="10" t="s">
        <v>542</v>
      </c>
      <c r="I64" s="10" t="s">
        <v>592</v>
      </c>
      <c r="J64" s="10" t="s">
        <v>533</v>
      </c>
      <c r="K64" s="10" t="s">
        <v>593</v>
      </c>
      <c r="L64" s="10" t="s">
        <v>594</v>
      </c>
      <c r="M64" s="10" t="s">
        <v>62</v>
      </c>
      <c r="N64" s="10" t="s">
        <v>547</v>
      </c>
      <c r="O64" s="10" t="s">
        <v>523</v>
      </c>
      <c r="P64" s="10" t="s">
        <v>62</v>
      </c>
      <c r="Q64" s="10" t="s">
        <v>595</v>
      </c>
      <c r="R64" s="10" t="s">
        <v>596</v>
      </c>
      <c r="S64" s="10" t="s">
        <v>597</v>
      </c>
      <c r="T64" s="12"/>
      <c r="U64" s="12"/>
    </row>
    <row r="65" customFormat="false" ht="181.5" hidden="false" customHeight="true" outlineLevel="0" collapsed="false">
      <c r="A65" s="10" t="n">
        <v>63</v>
      </c>
      <c r="B65" s="10" t="s">
        <v>578</v>
      </c>
      <c r="C65" s="10" t="s">
        <v>598</v>
      </c>
      <c r="D65" s="11" t="s">
        <v>53</v>
      </c>
      <c r="E65" s="10" t="s">
        <v>599</v>
      </c>
      <c r="F65" s="10" t="s">
        <v>600</v>
      </c>
      <c r="G65" s="10" t="s">
        <v>272</v>
      </c>
      <c r="H65" s="10" t="s">
        <v>601</v>
      </c>
      <c r="I65" s="10" t="s">
        <v>602</v>
      </c>
      <c r="J65" s="10" t="s">
        <v>603</v>
      </c>
      <c r="K65" s="10" t="s">
        <v>604</v>
      </c>
      <c r="L65" s="10" t="s">
        <v>605</v>
      </c>
      <c r="M65" s="10" t="s">
        <v>62</v>
      </c>
      <c r="N65" s="10" t="s">
        <v>62</v>
      </c>
      <c r="O65" s="10" t="s">
        <v>523</v>
      </c>
      <c r="P65" s="10" t="s">
        <v>62</v>
      </c>
      <c r="Q65" s="10" t="s">
        <v>606</v>
      </c>
      <c r="R65" s="10" t="s">
        <v>607</v>
      </c>
      <c r="S65" s="10" t="s">
        <v>608</v>
      </c>
      <c r="T65" s="12"/>
      <c r="U65" s="12"/>
    </row>
    <row r="66" customFormat="false" ht="240" hidden="false" customHeight="true" outlineLevel="0" collapsed="false">
      <c r="A66" s="10" t="n">
        <v>64</v>
      </c>
      <c r="B66" s="10" t="s">
        <v>578</v>
      </c>
      <c r="C66" s="10" t="s">
        <v>609</v>
      </c>
      <c r="D66" s="14" t="s">
        <v>166</v>
      </c>
      <c r="E66" s="10" t="s">
        <v>610</v>
      </c>
      <c r="F66" s="10" t="s">
        <v>234</v>
      </c>
      <c r="G66" s="10" t="s">
        <v>611</v>
      </c>
      <c r="H66" s="10" t="s">
        <v>281</v>
      </c>
      <c r="I66" s="10" t="s">
        <v>612</v>
      </c>
      <c r="J66" s="10" t="s">
        <v>613</v>
      </c>
      <c r="K66" s="10" t="s">
        <v>614</v>
      </c>
      <c r="L66" s="10" t="s">
        <v>615</v>
      </c>
      <c r="M66" s="10" t="s">
        <v>62</v>
      </c>
      <c r="N66" s="10" t="s">
        <v>616</v>
      </c>
      <c r="O66" s="10" t="s">
        <v>617</v>
      </c>
      <c r="P66" s="10" t="s">
        <v>62</v>
      </c>
      <c r="Q66" s="10" t="s">
        <v>618</v>
      </c>
      <c r="R66" s="10" t="s">
        <v>619</v>
      </c>
      <c r="S66" s="10" t="s">
        <v>620</v>
      </c>
      <c r="T66" s="12"/>
      <c r="U66" s="12"/>
    </row>
    <row r="67" customFormat="false" ht="240" hidden="false" customHeight="true" outlineLevel="0" collapsed="false">
      <c r="A67" s="10" t="n">
        <v>65</v>
      </c>
      <c r="B67" s="10" t="s">
        <v>578</v>
      </c>
      <c r="C67" s="10" t="s">
        <v>621</v>
      </c>
      <c r="D67" s="15" t="s">
        <v>178</v>
      </c>
      <c r="E67" s="10" t="s">
        <v>622</v>
      </c>
      <c r="F67" s="10" t="s">
        <v>234</v>
      </c>
      <c r="G67" s="10" t="s">
        <v>169</v>
      </c>
      <c r="H67" s="10" t="s">
        <v>281</v>
      </c>
      <c r="I67" s="10" t="s">
        <v>623</v>
      </c>
      <c r="J67" s="10" t="s">
        <v>59</v>
      </c>
      <c r="K67" s="10" t="s">
        <v>160</v>
      </c>
      <c r="L67" s="10" t="s">
        <v>624</v>
      </c>
      <c r="M67" s="10" t="s">
        <v>62</v>
      </c>
      <c r="N67" s="10" t="s">
        <v>62</v>
      </c>
      <c r="O67" s="10" t="s">
        <v>89</v>
      </c>
      <c r="P67" s="10" t="s">
        <v>62</v>
      </c>
      <c r="Q67" s="10" t="s">
        <v>625</v>
      </c>
      <c r="R67" s="10" t="s">
        <v>626</v>
      </c>
      <c r="S67" s="10" t="s">
        <v>315</v>
      </c>
      <c r="T67" s="12"/>
      <c r="U67" s="12"/>
    </row>
    <row r="68" customFormat="false" ht="240" hidden="false" customHeight="true" outlineLevel="0" collapsed="false">
      <c r="A68" s="10" t="n">
        <v>66</v>
      </c>
      <c r="B68" s="10" t="s">
        <v>578</v>
      </c>
      <c r="C68" s="10" t="s">
        <v>627</v>
      </c>
      <c r="D68" s="15" t="s">
        <v>178</v>
      </c>
      <c r="E68" s="10" t="s">
        <v>628</v>
      </c>
      <c r="F68" s="10" t="s">
        <v>629</v>
      </c>
      <c r="G68" s="10" t="s">
        <v>630</v>
      </c>
      <c r="H68" s="10" t="s">
        <v>71</v>
      </c>
      <c r="I68" s="10" t="s">
        <v>631</v>
      </c>
      <c r="J68" s="10" t="s">
        <v>71</v>
      </c>
      <c r="K68" s="10" t="s">
        <v>632</v>
      </c>
      <c r="L68" s="10" t="s">
        <v>633</v>
      </c>
      <c r="M68" s="10" t="s">
        <v>372</v>
      </c>
      <c r="N68" s="10" t="s">
        <v>62</v>
      </c>
      <c r="O68" s="10" t="s">
        <v>523</v>
      </c>
      <c r="P68" s="10" t="s">
        <v>62</v>
      </c>
      <c r="Q68" s="10" t="s">
        <v>634</v>
      </c>
      <c r="R68" s="10" t="s">
        <v>635</v>
      </c>
      <c r="S68" s="10" t="s">
        <v>636</v>
      </c>
      <c r="T68" s="12"/>
      <c r="U68" s="12"/>
    </row>
    <row r="69" customFormat="false" ht="195.75" hidden="false" customHeight="true" outlineLevel="0" collapsed="false">
      <c r="A69" s="10" t="n">
        <v>67</v>
      </c>
      <c r="B69" s="10" t="s">
        <v>578</v>
      </c>
      <c r="C69" s="10" t="s">
        <v>637</v>
      </c>
      <c r="D69" s="15" t="s">
        <v>178</v>
      </c>
      <c r="E69" s="10" t="s">
        <v>638</v>
      </c>
      <c r="F69" s="10" t="s">
        <v>234</v>
      </c>
      <c r="G69" s="10" t="s">
        <v>169</v>
      </c>
      <c r="H69" s="10" t="s">
        <v>281</v>
      </c>
      <c r="I69" s="10" t="s">
        <v>639</v>
      </c>
      <c r="J69" s="10" t="s">
        <v>640</v>
      </c>
      <c r="K69" s="10" t="s">
        <v>160</v>
      </c>
      <c r="L69" s="10" t="s">
        <v>641</v>
      </c>
      <c r="M69" s="10" t="s">
        <v>62</v>
      </c>
      <c r="N69" s="10" t="s">
        <v>62</v>
      </c>
      <c r="O69" s="10" t="s">
        <v>63</v>
      </c>
      <c r="P69" s="10" t="s">
        <v>62</v>
      </c>
      <c r="Q69" s="10" t="s">
        <v>642</v>
      </c>
      <c r="R69" s="10" t="s">
        <v>643</v>
      </c>
      <c r="S69" s="10" t="s">
        <v>315</v>
      </c>
      <c r="T69" s="12"/>
      <c r="U69" s="12"/>
    </row>
    <row r="70" customFormat="false" ht="237.75" hidden="false" customHeight="true" outlineLevel="0" collapsed="false">
      <c r="A70" s="10" t="n">
        <v>68</v>
      </c>
      <c r="B70" s="10" t="s">
        <v>578</v>
      </c>
      <c r="C70" s="10" t="s">
        <v>644</v>
      </c>
      <c r="D70" s="15" t="s">
        <v>178</v>
      </c>
      <c r="E70" s="10" t="s">
        <v>645</v>
      </c>
      <c r="F70" s="10" t="s">
        <v>234</v>
      </c>
      <c r="G70" s="10" t="s">
        <v>169</v>
      </c>
      <c r="H70" s="10" t="s">
        <v>281</v>
      </c>
      <c r="I70" s="10" t="s">
        <v>646</v>
      </c>
      <c r="J70" s="10" t="s">
        <v>59</v>
      </c>
      <c r="K70" s="10" t="s">
        <v>647</v>
      </c>
      <c r="L70" s="10" t="s">
        <v>648</v>
      </c>
      <c r="M70" s="10" t="s">
        <v>62</v>
      </c>
      <c r="N70" s="10" t="s">
        <v>62</v>
      </c>
      <c r="O70" s="10" t="s">
        <v>523</v>
      </c>
      <c r="P70" s="10" t="s">
        <v>62</v>
      </c>
      <c r="Q70" s="10" t="s">
        <v>649</v>
      </c>
      <c r="R70" s="10" t="s">
        <v>650</v>
      </c>
      <c r="S70" s="10" t="s">
        <v>651</v>
      </c>
      <c r="T70" s="12"/>
      <c r="U70" s="12"/>
    </row>
    <row r="71" customFormat="false" ht="195.75" hidden="false" customHeight="true" outlineLevel="0" collapsed="false">
      <c r="A71" s="10" t="n">
        <v>69</v>
      </c>
      <c r="B71" s="10" t="s">
        <v>652</v>
      </c>
      <c r="C71" s="10" t="s">
        <v>653</v>
      </c>
      <c r="D71" s="15" t="s">
        <v>178</v>
      </c>
      <c r="E71" s="10" t="s">
        <v>654</v>
      </c>
      <c r="F71" s="10" t="s">
        <v>234</v>
      </c>
      <c r="G71" s="10" t="s">
        <v>169</v>
      </c>
      <c r="H71" s="10" t="s">
        <v>281</v>
      </c>
      <c r="I71" s="10" t="s">
        <v>655</v>
      </c>
      <c r="J71" s="10" t="s">
        <v>59</v>
      </c>
      <c r="K71" s="10" t="s">
        <v>656</v>
      </c>
      <c r="L71" s="10" t="s">
        <v>657</v>
      </c>
      <c r="M71" s="10" t="s">
        <v>372</v>
      </c>
      <c r="N71" s="10" t="s">
        <v>62</v>
      </c>
      <c r="O71" s="10" t="s">
        <v>89</v>
      </c>
      <c r="P71" s="10" t="s">
        <v>62</v>
      </c>
      <c r="Q71" s="10" t="s">
        <v>658</v>
      </c>
      <c r="R71" s="10" t="s">
        <v>659</v>
      </c>
      <c r="S71" s="10" t="s">
        <v>660</v>
      </c>
      <c r="T71" s="12"/>
      <c r="U71" s="12"/>
    </row>
    <row r="72" customFormat="false" ht="168" hidden="false" customHeight="true" outlineLevel="0" collapsed="false">
      <c r="A72" s="10" t="n">
        <v>70</v>
      </c>
      <c r="B72" s="10" t="s">
        <v>578</v>
      </c>
      <c r="C72" s="10" t="s">
        <v>661</v>
      </c>
      <c r="D72" s="13" t="s">
        <v>111</v>
      </c>
      <c r="E72" s="10" t="s">
        <v>662</v>
      </c>
      <c r="F72" s="10" t="s">
        <v>234</v>
      </c>
      <c r="G72" s="10" t="s">
        <v>169</v>
      </c>
      <c r="H72" s="10" t="s">
        <v>281</v>
      </c>
      <c r="I72" s="10" t="s">
        <v>663</v>
      </c>
      <c r="J72" s="10" t="s">
        <v>664</v>
      </c>
      <c r="K72" s="10" t="s">
        <v>160</v>
      </c>
      <c r="L72" s="10" t="s">
        <v>665</v>
      </c>
      <c r="M72" s="10" t="s">
        <v>62</v>
      </c>
      <c r="N72" s="10" t="s">
        <v>62</v>
      </c>
      <c r="O72" s="10" t="s">
        <v>62</v>
      </c>
      <c r="P72" s="10" t="s">
        <v>284</v>
      </c>
      <c r="Q72" s="10" t="s">
        <v>62</v>
      </c>
      <c r="R72" s="10" t="s">
        <v>62</v>
      </c>
      <c r="S72" s="10" t="s">
        <v>285</v>
      </c>
      <c r="T72" s="12"/>
      <c r="U72" s="12"/>
    </row>
    <row r="73" customFormat="false" ht="240" hidden="false" customHeight="true" outlineLevel="0" collapsed="false">
      <c r="A73" s="10" t="n">
        <v>71</v>
      </c>
      <c r="B73" s="10" t="s">
        <v>666</v>
      </c>
      <c r="C73" s="10" t="s">
        <v>667</v>
      </c>
      <c r="D73" s="14" t="s">
        <v>166</v>
      </c>
      <c r="E73" s="10" t="s">
        <v>668</v>
      </c>
      <c r="F73" s="10" t="s">
        <v>669</v>
      </c>
      <c r="G73" s="10" t="s">
        <v>169</v>
      </c>
      <c r="H73" s="10" t="s">
        <v>170</v>
      </c>
      <c r="I73" s="10" t="s">
        <v>159</v>
      </c>
      <c r="J73" s="10" t="s">
        <v>59</v>
      </c>
      <c r="K73" s="10" t="s">
        <v>670</v>
      </c>
      <c r="L73" s="10" t="s">
        <v>671</v>
      </c>
      <c r="M73" s="10" t="s">
        <v>88</v>
      </c>
      <c r="N73" s="10" t="s">
        <v>62</v>
      </c>
      <c r="O73" s="10" t="s">
        <v>63</v>
      </c>
      <c r="P73" s="10" t="s">
        <v>62</v>
      </c>
      <c r="Q73" s="10" t="s">
        <v>672</v>
      </c>
      <c r="R73" s="10" t="s">
        <v>673</v>
      </c>
      <c r="S73" s="10" t="s">
        <v>447</v>
      </c>
      <c r="T73" s="12"/>
      <c r="U73" s="12"/>
    </row>
    <row r="74" customFormat="false" ht="240" hidden="false" customHeight="true" outlineLevel="0" collapsed="false">
      <c r="A74" s="10" t="n">
        <v>72</v>
      </c>
      <c r="B74" s="10" t="s">
        <v>666</v>
      </c>
      <c r="C74" s="10" t="s">
        <v>674</v>
      </c>
      <c r="D74" s="14" t="s">
        <v>166</v>
      </c>
      <c r="E74" s="10" t="s">
        <v>675</v>
      </c>
      <c r="F74" s="10" t="s">
        <v>676</v>
      </c>
      <c r="G74" s="10" t="s">
        <v>169</v>
      </c>
      <c r="H74" s="10" t="s">
        <v>677</v>
      </c>
      <c r="I74" s="10" t="s">
        <v>159</v>
      </c>
      <c r="J74" s="10" t="s">
        <v>59</v>
      </c>
      <c r="K74" s="10" t="s">
        <v>678</v>
      </c>
      <c r="L74" s="10" t="s">
        <v>679</v>
      </c>
      <c r="M74" s="10" t="s">
        <v>372</v>
      </c>
      <c r="N74" s="10" t="s">
        <v>62</v>
      </c>
      <c r="O74" s="10" t="s">
        <v>89</v>
      </c>
      <c r="P74" s="10" t="s">
        <v>62</v>
      </c>
      <c r="Q74" s="10" t="s">
        <v>680</v>
      </c>
      <c r="R74" s="10" t="s">
        <v>681</v>
      </c>
      <c r="S74" s="10" t="s">
        <v>682</v>
      </c>
      <c r="T74" s="12"/>
      <c r="U74" s="12"/>
    </row>
    <row r="75" customFormat="false" ht="240" hidden="false" customHeight="true" outlineLevel="0" collapsed="false">
      <c r="A75" s="10" t="n">
        <v>73</v>
      </c>
      <c r="B75" s="10" t="s">
        <v>683</v>
      </c>
      <c r="C75" s="10" t="s">
        <v>684</v>
      </c>
      <c r="D75" s="14" t="s">
        <v>166</v>
      </c>
      <c r="E75" s="10" t="s">
        <v>685</v>
      </c>
      <c r="F75" s="10" t="s">
        <v>686</v>
      </c>
      <c r="G75" s="10" t="s">
        <v>687</v>
      </c>
      <c r="H75" s="10" t="s">
        <v>145</v>
      </c>
      <c r="I75" s="10" t="s">
        <v>159</v>
      </c>
      <c r="J75" s="10" t="s">
        <v>59</v>
      </c>
      <c r="K75" s="10" t="s">
        <v>160</v>
      </c>
      <c r="L75" s="10" t="s">
        <v>688</v>
      </c>
      <c r="M75" s="10" t="s">
        <v>62</v>
      </c>
      <c r="N75" s="10" t="s">
        <v>62</v>
      </c>
      <c r="O75" s="10" t="s">
        <v>89</v>
      </c>
      <c r="P75" s="10" t="s">
        <v>62</v>
      </c>
      <c r="Q75" s="10" t="s">
        <v>689</v>
      </c>
      <c r="R75" s="10" t="s">
        <v>690</v>
      </c>
      <c r="S75" s="10" t="s">
        <v>691</v>
      </c>
      <c r="T75" s="12"/>
      <c r="U75" s="12"/>
    </row>
    <row r="76" customFormat="false" ht="168" hidden="false" customHeight="true" outlineLevel="0" collapsed="false">
      <c r="A76" s="10" t="n">
        <v>74</v>
      </c>
      <c r="B76" s="10" t="s">
        <v>666</v>
      </c>
      <c r="C76" s="10" t="s">
        <v>692</v>
      </c>
      <c r="D76" s="15" t="s">
        <v>178</v>
      </c>
      <c r="E76" s="10" t="s">
        <v>693</v>
      </c>
      <c r="F76" s="10" t="s">
        <v>244</v>
      </c>
      <c r="G76" s="10" t="s">
        <v>694</v>
      </c>
      <c r="H76" s="10" t="s">
        <v>281</v>
      </c>
      <c r="I76" s="10" t="s">
        <v>159</v>
      </c>
      <c r="J76" s="10" t="s">
        <v>59</v>
      </c>
      <c r="K76" s="10" t="s">
        <v>160</v>
      </c>
      <c r="L76" s="10" t="s">
        <v>695</v>
      </c>
      <c r="M76" s="10" t="s">
        <v>62</v>
      </c>
      <c r="N76" s="10" t="s">
        <v>62</v>
      </c>
      <c r="O76" s="10" t="s">
        <v>63</v>
      </c>
      <c r="P76" s="10" t="s">
        <v>62</v>
      </c>
      <c r="Q76" s="10" t="s">
        <v>696</v>
      </c>
      <c r="R76" s="10" t="s">
        <v>697</v>
      </c>
      <c r="S76" s="10" t="s">
        <v>698</v>
      </c>
      <c r="T76" s="12"/>
      <c r="U76" s="12"/>
    </row>
    <row r="77" customFormat="false" ht="240" hidden="false" customHeight="true" outlineLevel="0" collapsed="false">
      <c r="A77" s="10" t="n">
        <v>75</v>
      </c>
      <c r="B77" s="10" t="s">
        <v>699</v>
      </c>
      <c r="C77" s="10" t="s">
        <v>700</v>
      </c>
      <c r="D77" s="15" t="s">
        <v>178</v>
      </c>
      <c r="E77" s="10" t="s">
        <v>701</v>
      </c>
      <c r="F77" s="10" t="s">
        <v>702</v>
      </c>
      <c r="G77" s="10" t="s">
        <v>169</v>
      </c>
      <c r="H77" s="10" t="s">
        <v>281</v>
      </c>
      <c r="I77" s="10" t="s">
        <v>703</v>
      </c>
      <c r="J77" s="10" t="s">
        <v>704</v>
      </c>
      <c r="K77" s="10" t="s">
        <v>705</v>
      </c>
      <c r="L77" s="10" t="s">
        <v>706</v>
      </c>
      <c r="M77" s="10" t="s">
        <v>88</v>
      </c>
      <c r="N77" s="10" t="s">
        <v>62</v>
      </c>
      <c r="O77" s="10" t="s">
        <v>89</v>
      </c>
      <c r="P77" s="10" t="s">
        <v>62</v>
      </c>
      <c r="Q77" s="10" t="s">
        <v>707</v>
      </c>
      <c r="R77" s="10" t="s">
        <v>708</v>
      </c>
      <c r="S77" s="10" t="s">
        <v>709</v>
      </c>
      <c r="T77" s="12"/>
      <c r="U77" s="12"/>
    </row>
    <row r="78" customFormat="false" ht="153.75" hidden="false" customHeight="true" outlineLevel="0" collapsed="false">
      <c r="A78" s="10" t="n">
        <v>76</v>
      </c>
      <c r="B78" s="10" t="s">
        <v>666</v>
      </c>
      <c r="C78" s="10" t="s">
        <v>710</v>
      </c>
      <c r="D78" s="13" t="s">
        <v>111</v>
      </c>
      <c r="E78" s="10" t="s">
        <v>711</v>
      </c>
      <c r="F78" s="10" t="s">
        <v>712</v>
      </c>
      <c r="G78" s="10" t="s">
        <v>169</v>
      </c>
      <c r="H78" s="10" t="s">
        <v>281</v>
      </c>
      <c r="I78" s="10" t="s">
        <v>159</v>
      </c>
      <c r="J78" s="10" t="s">
        <v>59</v>
      </c>
      <c r="K78" s="10" t="s">
        <v>160</v>
      </c>
      <c r="L78" s="10" t="s">
        <v>713</v>
      </c>
      <c r="M78" s="10" t="s">
        <v>62</v>
      </c>
      <c r="N78" s="10" t="s">
        <v>62</v>
      </c>
      <c r="O78" s="10" t="s">
        <v>62</v>
      </c>
      <c r="P78" s="10" t="s">
        <v>714</v>
      </c>
      <c r="Q78" s="10" t="s">
        <v>62</v>
      </c>
      <c r="R78" s="10" t="s">
        <v>62</v>
      </c>
      <c r="S78" s="10" t="s">
        <v>715</v>
      </c>
      <c r="T78" s="12"/>
      <c r="U78" s="12"/>
    </row>
    <row r="79" customFormat="false" ht="181.5" hidden="false" customHeight="true" outlineLevel="0" collapsed="false">
      <c r="A79" s="10" t="n">
        <v>77</v>
      </c>
      <c r="B79" s="10" t="s">
        <v>716</v>
      </c>
      <c r="C79" s="10" t="s">
        <v>717</v>
      </c>
      <c r="D79" s="15" t="s">
        <v>178</v>
      </c>
      <c r="E79" s="10" t="s">
        <v>718</v>
      </c>
      <c r="F79" s="10" t="s">
        <v>719</v>
      </c>
      <c r="G79" s="10" t="s">
        <v>169</v>
      </c>
      <c r="H79" s="10" t="s">
        <v>720</v>
      </c>
      <c r="I79" s="10" t="s">
        <v>159</v>
      </c>
      <c r="J79" s="10" t="s">
        <v>59</v>
      </c>
      <c r="K79" s="10" t="s">
        <v>160</v>
      </c>
      <c r="L79" s="10" t="s">
        <v>721</v>
      </c>
      <c r="M79" s="10" t="s">
        <v>62</v>
      </c>
      <c r="N79" s="10" t="s">
        <v>62</v>
      </c>
      <c r="O79" s="10" t="s">
        <v>89</v>
      </c>
      <c r="P79" s="10" t="s">
        <v>62</v>
      </c>
      <c r="Q79" s="10" t="s">
        <v>722</v>
      </c>
      <c r="R79" s="10" t="s">
        <v>723</v>
      </c>
      <c r="S79" s="10" t="s">
        <v>315</v>
      </c>
      <c r="T79" s="12"/>
      <c r="U79" s="12"/>
    </row>
    <row r="80" customFormat="false" ht="210" hidden="false" customHeight="true" outlineLevel="0" collapsed="false">
      <c r="A80" s="10" t="n">
        <v>78</v>
      </c>
      <c r="B80" s="10" t="s">
        <v>716</v>
      </c>
      <c r="C80" s="10" t="s">
        <v>724</v>
      </c>
      <c r="D80" s="15" t="s">
        <v>178</v>
      </c>
      <c r="E80" s="10" t="s">
        <v>725</v>
      </c>
      <c r="F80" s="10" t="s">
        <v>234</v>
      </c>
      <c r="G80" s="10" t="s">
        <v>169</v>
      </c>
      <c r="H80" s="10" t="s">
        <v>281</v>
      </c>
      <c r="I80" s="10" t="s">
        <v>159</v>
      </c>
      <c r="J80" s="10" t="s">
        <v>59</v>
      </c>
      <c r="K80" s="10" t="s">
        <v>160</v>
      </c>
      <c r="L80" s="10" t="s">
        <v>726</v>
      </c>
      <c r="M80" s="10" t="s">
        <v>62</v>
      </c>
      <c r="N80" s="10" t="s">
        <v>62</v>
      </c>
      <c r="O80" s="10" t="s">
        <v>89</v>
      </c>
      <c r="P80" s="10" t="s">
        <v>62</v>
      </c>
      <c r="Q80" s="10" t="s">
        <v>62</v>
      </c>
      <c r="R80" s="10" t="s">
        <v>62</v>
      </c>
      <c r="S80" s="10" t="s">
        <v>315</v>
      </c>
      <c r="T80" s="12"/>
      <c r="U80" s="12"/>
    </row>
    <row r="81" customFormat="false" ht="240" hidden="false" customHeight="true" outlineLevel="0" collapsed="false">
      <c r="A81" s="10" t="n">
        <v>79</v>
      </c>
      <c r="B81" s="10" t="s">
        <v>716</v>
      </c>
      <c r="C81" s="10" t="s">
        <v>727</v>
      </c>
      <c r="D81" s="15" t="s">
        <v>178</v>
      </c>
      <c r="E81" s="10" t="s">
        <v>728</v>
      </c>
      <c r="F81" s="10" t="s">
        <v>729</v>
      </c>
      <c r="G81" s="10" t="s">
        <v>169</v>
      </c>
      <c r="H81" s="10" t="s">
        <v>730</v>
      </c>
      <c r="I81" s="10" t="s">
        <v>159</v>
      </c>
      <c r="J81" s="10" t="s">
        <v>59</v>
      </c>
      <c r="K81" s="10" t="s">
        <v>731</v>
      </c>
      <c r="L81" s="10" t="s">
        <v>732</v>
      </c>
      <c r="M81" s="10" t="s">
        <v>62</v>
      </c>
      <c r="N81" s="10" t="s">
        <v>62</v>
      </c>
      <c r="O81" s="10" t="s">
        <v>89</v>
      </c>
      <c r="P81" s="10" t="s">
        <v>62</v>
      </c>
      <c r="Q81" s="10" t="s">
        <v>733</v>
      </c>
      <c r="R81" s="10" t="s">
        <v>734</v>
      </c>
      <c r="S81" s="10" t="s">
        <v>651</v>
      </c>
      <c r="T81" s="12"/>
      <c r="U81" s="12"/>
    </row>
    <row r="82" customFormat="false" ht="168" hidden="false" customHeight="true" outlineLevel="0" collapsed="false">
      <c r="A82" s="10" t="n">
        <v>80</v>
      </c>
      <c r="B82" s="10" t="s">
        <v>716</v>
      </c>
      <c r="C82" s="10" t="s">
        <v>735</v>
      </c>
      <c r="D82" s="13" t="s">
        <v>111</v>
      </c>
      <c r="E82" s="10" t="s">
        <v>736</v>
      </c>
      <c r="F82" s="10" t="s">
        <v>234</v>
      </c>
      <c r="G82" s="10" t="s">
        <v>169</v>
      </c>
      <c r="H82" s="10" t="s">
        <v>737</v>
      </c>
      <c r="I82" s="10" t="s">
        <v>159</v>
      </c>
      <c r="J82" s="10" t="s">
        <v>59</v>
      </c>
      <c r="K82" s="10" t="s">
        <v>160</v>
      </c>
      <c r="L82" s="10" t="s">
        <v>738</v>
      </c>
      <c r="M82" s="10" t="s">
        <v>62</v>
      </c>
      <c r="N82" s="10" t="s">
        <v>62</v>
      </c>
      <c r="O82" s="10" t="s">
        <v>62</v>
      </c>
      <c r="P82" s="10" t="s">
        <v>259</v>
      </c>
      <c r="Q82" s="10" t="s">
        <v>62</v>
      </c>
      <c r="R82" s="10" t="s">
        <v>62</v>
      </c>
      <c r="S82" s="10" t="s">
        <v>739</v>
      </c>
      <c r="T82" s="12"/>
      <c r="U82" s="12"/>
    </row>
    <row r="83" customFormat="false" ht="240" hidden="false" customHeight="true" outlineLevel="0" collapsed="false">
      <c r="A83" s="10" t="n">
        <v>81</v>
      </c>
      <c r="B83" s="10" t="s">
        <v>740</v>
      </c>
      <c r="C83" s="10" t="s">
        <v>741</v>
      </c>
      <c r="D83" s="14" t="s">
        <v>166</v>
      </c>
      <c r="E83" s="10" t="s">
        <v>742</v>
      </c>
      <c r="F83" s="10" t="s">
        <v>254</v>
      </c>
      <c r="G83" s="10" t="s">
        <v>203</v>
      </c>
      <c r="H83" s="10" t="s">
        <v>743</v>
      </c>
      <c r="I83" s="10" t="s">
        <v>257</v>
      </c>
      <c r="J83" s="10" t="s">
        <v>744</v>
      </c>
      <c r="K83" s="10" t="s">
        <v>207</v>
      </c>
      <c r="L83" s="10" t="s">
        <v>745</v>
      </c>
      <c r="M83" s="10" t="s">
        <v>62</v>
      </c>
      <c r="N83" s="10" t="s">
        <v>62</v>
      </c>
      <c r="O83" s="10" t="s">
        <v>89</v>
      </c>
      <c r="P83" s="10" t="s">
        <v>62</v>
      </c>
      <c r="Q83" s="10" t="s">
        <v>746</v>
      </c>
      <c r="R83" s="10" t="s">
        <v>747</v>
      </c>
      <c r="S83" s="10" t="s">
        <v>748</v>
      </c>
      <c r="T83" s="12"/>
      <c r="U83" s="12"/>
    </row>
    <row r="84" customFormat="false" ht="195.75" hidden="false" customHeight="true" outlineLevel="0" collapsed="false">
      <c r="A84" s="10" t="n">
        <v>82</v>
      </c>
      <c r="B84" s="10" t="s">
        <v>749</v>
      </c>
      <c r="C84" s="10" t="s">
        <v>750</v>
      </c>
      <c r="D84" s="14" t="s">
        <v>166</v>
      </c>
      <c r="E84" s="10" t="s">
        <v>751</v>
      </c>
      <c r="F84" s="10" t="s">
        <v>752</v>
      </c>
      <c r="G84" s="10" t="s">
        <v>169</v>
      </c>
      <c r="H84" s="10" t="s">
        <v>753</v>
      </c>
      <c r="I84" s="10" t="s">
        <v>159</v>
      </c>
      <c r="J84" s="10" t="s">
        <v>754</v>
      </c>
      <c r="K84" s="10" t="s">
        <v>160</v>
      </c>
      <c r="L84" s="10" t="s">
        <v>755</v>
      </c>
      <c r="M84" s="10" t="s">
        <v>62</v>
      </c>
      <c r="N84" s="10" t="s">
        <v>62</v>
      </c>
      <c r="O84" s="10" t="s">
        <v>89</v>
      </c>
      <c r="P84" s="10" t="s">
        <v>62</v>
      </c>
      <c r="Q84" s="10" t="s">
        <v>756</v>
      </c>
      <c r="R84" s="10" t="s">
        <v>757</v>
      </c>
      <c r="S84" s="10" t="s">
        <v>758</v>
      </c>
      <c r="T84" s="12"/>
      <c r="U84" s="12"/>
    </row>
    <row r="85" customFormat="false" ht="153.75" hidden="false" customHeight="true" outlineLevel="0" collapsed="false">
      <c r="A85" s="10" t="n">
        <v>83</v>
      </c>
      <c r="B85" s="10" t="s">
        <v>749</v>
      </c>
      <c r="C85" s="10" t="s">
        <v>759</v>
      </c>
      <c r="D85" s="15" t="s">
        <v>178</v>
      </c>
      <c r="E85" s="10" t="s">
        <v>760</v>
      </c>
      <c r="F85" s="10" t="s">
        <v>234</v>
      </c>
      <c r="G85" s="10" t="s">
        <v>169</v>
      </c>
      <c r="H85" s="10" t="s">
        <v>281</v>
      </c>
      <c r="I85" s="10" t="s">
        <v>159</v>
      </c>
      <c r="J85" s="10" t="s">
        <v>59</v>
      </c>
      <c r="K85" s="10" t="s">
        <v>160</v>
      </c>
      <c r="L85" s="10" t="s">
        <v>761</v>
      </c>
      <c r="M85" s="10" t="s">
        <v>62</v>
      </c>
      <c r="N85" s="10" t="s">
        <v>62</v>
      </c>
      <c r="O85" s="10" t="s">
        <v>89</v>
      </c>
      <c r="P85" s="10" t="s">
        <v>62</v>
      </c>
      <c r="Q85" s="10" t="s">
        <v>762</v>
      </c>
      <c r="R85" s="10" t="s">
        <v>763</v>
      </c>
      <c r="S85" s="10" t="s">
        <v>315</v>
      </c>
      <c r="T85" s="12"/>
      <c r="U85" s="12"/>
    </row>
    <row r="86" customFormat="false" ht="240" hidden="false" customHeight="true" outlineLevel="0" collapsed="false">
      <c r="A86" s="10" t="n">
        <v>84</v>
      </c>
      <c r="B86" s="10" t="s">
        <v>749</v>
      </c>
      <c r="C86" s="10" t="s">
        <v>764</v>
      </c>
      <c r="D86" s="13" t="s">
        <v>111</v>
      </c>
      <c r="E86" s="10" t="s">
        <v>765</v>
      </c>
      <c r="F86" s="10" t="s">
        <v>254</v>
      </c>
      <c r="G86" s="10" t="s">
        <v>203</v>
      </c>
      <c r="H86" s="10" t="s">
        <v>256</v>
      </c>
      <c r="I86" s="10" t="s">
        <v>257</v>
      </c>
      <c r="J86" s="10" t="s">
        <v>206</v>
      </c>
      <c r="K86" s="10" t="s">
        <v>207</v>
      </c>
      <c r="L86" s="10" t="s">
        <v>766</v>
      </c>
      <c r="M86" s="10" t="s">
        <v>62</v>
      </c>
      <c r="N86" s="10" t="s">
        <v>62</v>
      </c>
      <c r="O86" s="10" t="s">
        <v>62</v>
      </c>
      <c r="P86" s="10" t="s">
        <v>209</v>
      </c>
      <c r="Q86" s="10" t="s">
        <v>62</v>
      </c>
      <c r="R86" s="10" t="s">
        <v>62</v>
      </c>
      <c r="S86" s="10" t="s">
        <v>285</v>
      </c>
      <c r="T86" s="12"/>
      <c r="U86" s="12"/>
    </row>
    <row r="87" customFormat="false" ht="84" hidden="false" customHeight="true" outlineLevel="0" collapsed="false">
      <c r="A87" s="10" t="n">
        <v>85</v>
      </c>
      <c r="B87" s="10" t="s">
        <v>767</v>
      </c>
      <c r="C87" s="10" t="s">
        <v>768</v>
      </c>
      <c r="D87" s="13" t="s">
        <v>111</v>
      </c>
      <c r="E87" s="10" t="s">
        <v>769</v>
      </c>
      <c r="F87" s="10" t="s">
        <v>770</v>
      </c>
      <c r="G87" s="10" t="s">
        <v>771</v>
      </c>
      <c r="H87" s="10" t="s">
        <v>572</v>
      </c>
      <c r="I87" s="10" t="s">
        <v>772</v>
      </c>
      <c r="J87" s="10" t="s">
        <v>344</v>
      </c>
      <c r="K87" s="10" t="s">
        <v>773</v>
      </c>
      <c r="L87" s="10" t="s">
        <v>774</v>
      </c>
      <c r="M87" s="10" t="s">
        <v>62</v>
      </c>
      <c r="N87" s="10" t="s">
        <v>62</v>
      </c>
      <c r="O87" s="10" t="s">
        <v>62</v>
      </c>
      <c r="P87" s="10" t="s">
        <v>576</v>
      </c>
      <c r="Q87" s="10" t="s">
        <v>62</v>
      </c>
      <c r="R87" s="10" t="s">
        <v>62</v>
      </c>
      <c r="S87" s="10" t="s">
        <v>775</v>
      </c>
      <c r="T87" s="12"/>
      <c r="U87" s="12"/>
    </row>
    <row r="88" customFormat="false" ht="84" hidden="false" customHeight="true" outlineLevel="0" collapsed="false">
      <c r="A88" s="10" t="n">
        <v>86</v>
      </c>
      <c r="B88" s="10" t="s">
        <v>767</v>
      </c>
      <c r="C88" s="10" t="s">
        <v>776</v>
      </c>
      <c r="D88" s="13" t="s">
        <v>111</v>
      </c>
      <c r="E88" s="10" t="s">
        <v>777</v>
      </c>
      <c r="F88" s="10" t="s">
        <v>770</v>
      </c>
      <c r="G88" s="10" t="s">
        <v>771</v>
      </c>
      <c r="H88" s="10" t="s">
        <v>572</v>
      </c>
      <c r="I88" s="10" t="s">
        <v>772</v>
      </c>
      <c r="J88" s="10" t="s">
        <v>344</v>
      </c>
      <c r="K88" s="10" t="s">
        <v>773</v>
      </c>
      <c r="L88" s="10" t="s">
        <v>778</v>
      </c>
      <c r="M88" s="10" t="s">
        <v>62</v>
      </c>
      <c r="N88" s="10" t="s">
        <v>62</v>
      </c>
      <c r="O88" s="10" t="s">
        <v>62</v>
      </c>
      <c r="P88" s="10" t="s">
        <v>576</v>
      </c>
      <c r="Q88" s="10" t="s">
        <v>62</v>
      </c>
      <c r="R88" s="10" t="s">
        <v>62</v>
      </c>
      <c r="S88" s="10" t="s">
        <v>775</v>
      </c>
      <c r="T88" s="12"/>
      <c r="U88" s="12"/>
    </row>
    <row r="89" customFormat="false" ht="69.75" hidden="false" customHeight="true" outlineLevel="0" collapsed="false">
      <c r="A89" s="10" t="n">
        <v>87</v>
      </c>
      <c r="B89" s="10" t="s">
        <v>767</v>
      </c>
      <c r="C89" s="10" t="s">
        <v>779</v>
      </c>
      <c r="D89" s="13" t="s">
        <v>111</v>
      </c>
      <c r="E89" s="10" t="s">
        <v>780</v>
      </c>
      <c r="F89" s="10" t="s">
        <v>770</v>
      </c>
      <c r="G89" s="10" t="s">
        <v>771</v>
      </c>
      <c r="H89" s="10" t="s">
        <v>572</v>
      </c>
      <c r="I89" s="10" t="s">
        <v>772</v>
      </c>
      <c r="J89" s="10" t="s">
        <v>344</v>
      </c>
      <c r="K89" s="10" t="s">
        <v>773</v>
      </c>
      <c r="L89" s="10" t="s">
        <v>781</v>
      </c>
      <c r="M89" s="10" t="s">
        <v>62</v>
      </c>
      <c r="N89" s="10" t="s">
        <v>62</v>
      </c>
      <c r="O89" s="10" t="s">
        <v>62</v>
      </c>
      <c r="P89" s="10" t="s">
        <v>576</v>
      </c>
      <c r="Q89" s="10" t="s">
        <v>62</v>
      </c>
      <c r="R89" s="10" t="s">
        <v>62</v>
      </c>
      <c r="S89" s="10" t="s">
        <v>775</v>
      </c>
      <c r="T89" s="12"/>
      <c r="U89" s="12"/>
    </row>
  </sheetData>
  <autoFilter ref="A2:U89"/>
  <dataValidations count="1">
    <dataValidation allowBlank="true" errorStyle="stop" operator="between" prompt="Vyber áno, nie alebo čiastočne. Pri „nie“ a „čiastočne“ napíš pripomienku." promptTitle="Súhlasíš?" showDropDown="false" showErrorMessage="false" showInputMessage="false" sqref="T3:T89" type="list">
      <formula1>"áno,nie,čiastočne"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60"/>
    <col collapsed="false" customWidth="true" hidden="false" outlineLevel="0" max="5" min="5" style="0" width="44"/>
    <col collapsed="false" customWidth="true" hidden="false" outlineLevel="0" max="6" min="6" style="0" width="11"/>
    <col collapsed="false" customWidth="true" hidden="false" outlineLevel="0" max="7" min="7" style="0" width="44"/>
  </cols>
  <sheetData>
    <row r="1" customFormat="false" ht="15" hidden="false" customHeight="false" outlineLevel="0" collapsed="false">
      <c r="A1" s="5" t="s">
        <v>782</v>
      </c>
    </row>
    <row r="2" customFormat="false" ht="31.5" hidden="false" customHeight="true" outlineLevel="0" collapsed="false">
      <c r="A2" s="9" t="s">
        <v>36</v>
      </c>
      <c r="B2" s="9" t="s">
        <v>783</v>
      </c>
      <c r="C2" s="9" t="s">
        <v>784</v>
      </c>
      <c r="D2" s="9" t="s">
        <v>785</v>
      </c>
      <c r="E2" s="9" t="s">
        <v>6</v>
      </c>
      <c r="F2" s="9" t="s">
        <v>21</v>
      </c>
      <c r="G2" s="9" t="s">
        <v>23</v>
      </c>
    </row>
    <row r="3" customFormat="false" ht="27.75" hidden="false" customHeight="true" outlineLevel="0" collapsed="false">
      <c r="A3" s="10" t="s">
        <v>51</v>
      </c>
      <c r="B3" s="11" t="s">
        <v>53</v>
      </c>
      <c r="C3" s="10" t="s">
        <v>786</v>
      </c>
      <c r="D3" s="10" t="s">
        <v>787</v>
      </c>
      <c r="E3" s="10" t="s">
        <v>788</v>
      </c>
      <c r="F3" s="12"/>
      <c r="G3" s="12"/>
    </row>
    <row r="4" customFormat="false" ht="27.75" hidden="false" customHeight="true" outlineLevel="0" collapsed="false">
      <c r="A4" s="10"/>
      <c r="B4" s="11" t="s">
        <v>53</v>
      </c>
      <c r="C4" s="10" t="s">
        <v>786</v>
      </c>
      <c r="D4" s="10" t="s">
        <v>789</v>
      </c>
      <c r="E4" s="10"/>
      <c r="F4" s="12"/>
      <c r="G4" s="12"/>
    </row>
    <row r="5" customFormat="false" ht="27.75" hidden="false" customHeight="true" outlineLevel="0" collapsed="false">
      <c r="A5" s="10"/>
      <c r="B5" s="13" t="s">
        <v>111</v>
      </c>
      <c r="C5" s="10" t="s">
        <v>790</v>
      </c>
      <c r="D5" s="10" t="s">
        <v>791</v>
      </c>
      <c r="E5" s="10"/>
      <c r="F5" s="12"/>
      <c r="G5" s="12"/>
    </row>
    <row r="6" customFormat="false" ht="42" hidden="false" customHeight="true" outlineLevel="0" collapsed="false">
      <c r="A6" s="10"/>
      <c r="B6" s="13" t="s">
        <v>111</v>
      </c>
      <c r="C6" s="10" t="s">
        <v>790</v>
      </c>
      <c r="D6" s="10" t="s">
        <v>792</v>
      </c>
      <c r="E6" s="10" t="s">
        <v>793</v>
      </c>
      <c r="F6" s="12"/>
      <c r="G6" s="12"/>
    </row>
    <row r="7" customFormat="false" ht="15" hidden="false" customHeight="false" outlineLevel="0" collapsed="false">
      <c r="A7" s="16"/>
      <c r="B7" s="16" t="s">
        <v>794</v>
      </c>
      <c r="C7" s="16"/>
      <c r="D7" s="16" t="s">
        <v>795</v>
      </c>
      <c r="E7" s="16"/>
      <c r="F7" s="17"/>
      <c r="G7" s="17"/>
    </row>
    <row r="8" customFormat="false" ht="27.75" hidden="false" customHeight="true" outlineLevel="0" collapsed="false">
      <c r="A8" s="10" t="s">
        <v>140</v>
      </c>
      <c r="B8" s="11" t="s">
        <v>53</v>
      </c>
      <c r="C8" s="10" t="s">
        <v>786</v>
      </c>
      <c r="D8" s="10" t="s">
        <v>796</v>
      </c>
      <c r="E8" s="10"/>
      <c r="F8" s="12"/>
      <c r="G8" s="12"/>
    </row>
    <row r="9" customFormat="false" ht="27.75" hidden="false" customHeight="true" outlineLevel="0" collapsed="false">
      <c r="A9" s="10"/>
      <c r="B9" s="11" t="s">
        <v>53</v>
      </c>
      <c r="C9" s="10" t="s">
        <v>786</v>
      </c>
      <c r="D9" s="10" t="s">
        <v>797</v>
      </c>
      <c r="E9" s="10"/>
      <c r="F9" s="12"/>
      <c r="G9" s="12"/>
    </row>
    <row r="10" customFormat="false" ht="27.75" hidden="false" customHeight="true" outlineLevel="0" collapsed="false">
      <c r="A10" s="10"/>
      <c r="B10" s="14" t="s">
        <v>166</v>
      </c>
      <c r="C10" s="10" t="s">
        <v>798</v>
      </c>
      <c r="D10" s="10" t="s">
        <v>799</v>
      </c>
      <c r="E10" s="10"/>
      <c r="F10" s="12"/>
      <c r="G10" s="12"/>
    </row>
    <row r="11" customFormat="false" ht="27.75" hidden="false" customHeight="true" outlineLevel="0" collapsed="false">
      <c r="A11" s="10"/>
      <c r="B11" s="14" t="s">
        <v>166</v>
      </c>
      <c r="C11" s="10" t="s">
        <v>798</v>
      </c>
      <c r="D11" s="10" t="s">
        <v>800</v>
      </c>
      <c r="E11" s="10"/>
      <c r="F11" s="12"/>
      <c r="G11" s="12"/>
    </row>
    <row r="12" customFormat="false" ht="27.75" hidden="false" customHeight="true" outlineLevel="0" collapsed="false">
      <c r="A12" s="10"/>
      <c r="B12" s="14" t="s">
        <v>166</v>
      </c>
      <c r="C12" s="10" t="s">
        <v>798</v>
      </c>
      <c r="D12" s="10" t="s">
        <v>801</v>
      </c>
      <c r="E12" s="10" t="s">
        <v>802</v>
      </c>
      <c r="F12" s="12"/>
      <c r="G12" s="12"/>
    </row>
    <row r="13" customFormat="false" ht="27.75" hidden="false" customHeight="true" outlineLevel="0" collapsed="false">
      <c r="A13" s="10"/>
      <c r="B13" s="15" t="s">
        <v>178</v>
      </c>
      <c r="C13" s="10" t="s">
        <v>803</v>
      </c>
      <c r="D13" s="10" t="s">
        <v>804</v>
      </c>
      <c r="E13" s="10"/>
      <c r="F13" s="12"/>
      <c r="G13" s="12"/>
    </row>
    <row r="14" customFormat="false" ht="27.75" hidden="false" customHeight="true" outlineLevel="0" collapsed="false">
      <c r="A14" s="10"/>
      <c r="B14" s="15" t="s">
        <v>178</v>
      </c>
      <c r="C14" s="10" t="s">
        <v>803</v>
      </c>
      <c r="D14" s="10" t="s">
        <v>805</v>
      </c>
      <c r="E14" s="10"/>
      <c r="F14" s="12"/>
      <c r="G14" s="12"/>
    </row>
    <row r="15" customFormat="false" ht="27.75" hidden="false" customHeight="true" outlineLevel="0" collapsed="false">
      <c r="A15" s="16"/>
      <c r="B15" s="18" t="s">
        <v>111</v>
      </c>
      <c r="C15" s="16" t="s">
        <v>790</v>
      </c>
      <c r="D15" s="16" t="s">
        <v>806</v>
      </c>
      <c r="E15" s="16"/>
      <c r="F15" s="17"/>
      <c r="G15" s="17"/>
    </row>
    <row r="16" customFormat="false" ht="27.75" hidden="false" customHeight="true" outlineLevel="0" collapsed="false">
      <c r="A16" s="10" t="s">
        <v>221</v>
      </c>
      <c r="B16" s="11" t="s">
        <v>53</v>
      </c>
      <c r="C16" s="10" t="s">
        <v>786</v>
      </c>
      <c r="D16" s="10" t="s">
        <v>807</v>
      </c>
      <c r="E16" s="10"/>
      <c r="F16" s="12"/>
      <c r="G16" s="12"/>
    </row>
    <row r="17" customFormat="false" ht="27.75" hidden="false" customHeight="true" outlineLevel="0" collapsed="false">
      <c r="A17" s="10"/>
      <c r="B17" s="11" t="s">
        <v>53</v>
      </c>
      <c r="C17" s="10" t="s">
        <v>786</v>
      </c>
      <c r="D17" s="10" t="s">
        <v>808</v>
      </c>
      <c r="E17" s="10"/>
      <c r="F17" s="12"/>
      <c r="G17" s="12"/>
    </row>
    <row r="18" customFormat="false" ht="27.75" hidden="false" customHeight="true" outlineLevel="0" collapsed="false">
      <c r="A18" s="10"/>
      <c r="B18" s="11" t="s">
        <v>53</v>
      </c>
      <c r="C18" s="10" t="s">
        <v>786</v>
      </c>
      <c r="D18" s="10" t="s">
        <v>809</v>
      </c>
      <c r="E18" s="10"/>
      <c r="F18" s="12"/>
      <c r="G18" s="12"/>
    </row>
    <row r="19" customFormat="false" ht="27.75" hidden="false" customHeight="true" outlineLevel="0" collapsed="false">
      <c r="A19" s="10"/>
      <c r="B19" s="11" t="s">
        <v>53</v>
      </c>
      <c r="C19" s="10" t="s">
        <v>786</v>
      </c>
      <c r="D19" s="10" t="s">
        <v>810</v>
      </c>
      <c r="E19" s="10"/>
      <c r="F19" s="12"/>
      <c r="G19" s="12"/>
    </row>
    <row r="20" customFormat="false" ht="27.75" hidden="false" customHeight="true" outlineLevel="0" collapsed="false">
      <c r="A20" s="10"/>
      <c r="B20" s="14" t="s">
        <v>166</v>
      </c>
      <c r="C20" s="10" t="s">
        <v>798</v>
      </c>
      <c r="D20" s="10" t="s">
        <v>811</v>
      </c>
      <c r="E20" s="10"/>
      <c r="F20" s="12"/>
      <c r="G20" s="12"/>
    </row>
    <row r="21" customFormat="false" ht="27.75" hidden="false" customHeight="true" outlineLevel="0" collapsed="false">
      <c r="A21" s="10"/>
      <c r="B21" s="14" t="s">
        <v>166</v>
      </c>
      <c r="C21" s="10" t="s">
        <v>798</v>
      </c>
      <c r="D21" s="10" t="s">
        <v>812</v>
      </c>
      <c r="E21" s="10"/>
      <c r="F21" s="12"/>
      <c r="G21" s="12"/>
    </row>
    <row r="22" customFormat="false" ht="27.75" hidden="false" customHeight="true" outlineLevel="0" collapsed="false">
      <c r="A22" s="10"/>
      <c r="B22" s="14" t="s">
        <v>166</v>
      </c>
      <c r="C22" s="10" t="s">
        <v>798</v>
      </c>
      <c r="D22" s="10" t="s">
        <v>813</v>
      </c>
      <c r="E22" s="10"/>
      <c r="F22" s="12"/>
      <c r="G22" s="12"/>
    </row>
    <row r="23" customFormat="false" ht="27.75" hidden="false" customHeight="true" outlineLevel="0" collapsed="false">
      <c r="A23" s="10"/>
      <c r="B23" s="15" t="s">
        <v>178</v>
      </c>
      <c r="C23" s="10" t="s">
        <v>803</v>
      </c>
      <c r="D23" s="10" t="s">
        <v>814</v>
      </c>
      <c r="E23" s="10"/>
      <c r="F23" s="12"/>
      <c r="G23" s="12"/>
    </row>
    <row r="24" customFormat="false" ht="27.75" hidden="false" customHeight="true" outlineLevel="0" collapsed="false">
      <c r="A24" s="10"/>
      <c r="B24" s="15" t="s">
        <v>178</v>
      </c>
      <c r="C24" s="10" t="s">
        <v>803</v>
      </c>
      <c r="D24" s="10" t="s">
        <v>815</v>
      </c>
      <c r="E24" s="10"/>
      <c r="F24" s="12"/>
      <c r="G24" s="12"/>
    </row>
    <row r="25" customFormat="false" ht="27.75" hidden="false" customHeight="true" outlineLevel="0" collapsed="false">
      <c r="A25" s="10"/>
      <c r="B25" s="15" t="s">
        <v>178</v>
      </c>
      <c r="C25" s="10" t="s">
        <v>803</v>
      </c>
      <c r="D25" s="10" t="s">
        <v>816</v>
      </c>
      <c r="E25" s="10"/>
      <c r="F25" s="12"/>
      <c r="G25" s="12"/>
    </row>
    <row r="26" customFormat="false" ht="27.75" hidden="false" customHeight="true" outlineLevel="0" collapsed="false">
      <c r="A26" s="10"/>
      <c r="B26" s="13" t="s">
        <v>111</v>
      </c>
      <c r="C26" s="10" t="s">
        <v>790</v>
      </c>
      <c r="D26" s="10" t="s">
        <v>817</v>
      </c>
      <c r="E26" s="10"/>
      <c r="F26" s="12"/>
      <c r="G26" s="12"/>
    </row>
    <row r="27" customFormat="false" ht="27.75" hidden="false" customHeight="true" outlineLevel="0" collapsed="false">
      <c r="A27" s="16"/>
      <c r="B27" s="18" t="s">
        <v>111</v>
      </c>
      <c r="C27" s="16" t="s">
        <v>790</v>
      </c>
      <c r="D27" s="16" t="s">
        <v>818</v>
      </c>
      <c r="E27" s="16"/>
      <c r="F27" s="17"/>
      <c r="G27" s="17"/>
    </row>
    <row r="28" customFormat="false" ht="27.75" hidden="false" customHeight="true" outlineLevel="0" collapsed="false">
      <c r="A28" s="10" t="s">
        <v>43</v>
      </c>
      <c r="B28" s="14" t="s">
        <v>166</v>
      </c>
      <c r="C28" s="10" t="s">
        <v>798</v>
      </c>
      <c r="D28" s="10" t="s">
        <v>819</v>
      </c>
      <c r="E28" s="10"/>
      <c r="F28" s="12"/>
      <c r="G28" s="12"/>
    </row>
    <row r="29" customFormat="false" ht="27.75" hidden="false" customHeight="true" outlineLevel="0" collapsed="false">
      <c r="A29" s="10"/>
      <c r="B29" s="14" t="s">
        <v>166</v>
      </c>
      <c r="C29" s="10" t="s">
        <v>798</v>
      </c>
      <c r="D29" s="10" t="s">
        <v>820</v>
      </c>
      <c r="E29" s="10"/>
      <c r="F29" s="12"/>
      <c r="G29" s="12"/>
    </row>
    <row r="30" customFormat="false" ht="27.75" hidden="false" customHeight="true" outlineLevel="0" collapsed="false">
      <c r="A30" s="10"/>
      <c r="B30" s="14" t="s">
        <v>166</v>
      </c>
      <c r="C30" s="10" t="s">
        <v>798</v>
      </c>
      <c r="D30" s="10" t="s">
        <v>821</v>
      </c>
      <c r="E30" s="10"/>
      <c r="F30" s="12"/>
      <c r="G30" s="12"/>
    </row>
    <row r="31" customFormat="false" ht="27.75" hidden="false" customHeight="true" outlineLevel="0" collapsed="false">
      <c r="A31" s="10"/>
      <c r="B31" s="14" t="s">
        <v>166</v>
      </c>
      <c r="C31" s="10" t="s">
        <v>798</v>
      </c>
      <c r="D31" s="10" t="s">
        <v>822</v>
      </c>
      <c r="E31" s="10"/>
      <c r="F31" s="12"/>
      <c r="G31" s="12"/>
    </row>
    <row r="32" customFormat="false" ht="27.75" hidden="false" customHeight="true" outlineLevel="0" collapsed="false">
      <c r="A32" s="10"/>
      <c r="B32" s="15" t="s">
        <v>178</v>
      </c>
      <c r="C32" s="10" t="s">
        <v>803</v>
      </c>
      <c r="D32" s="10" t="s">
        <v>823</v>
      </c>
      <c r="E32" s="10"/>
      <c r="F32" s="12"/>
      <c r="G32" s="12"/>
    </row>
    <row r="33" customFormat="false" ht="27.75" hidden="false" customHeight="true" outlineLevel="0" collapsed="false">
      <c r="A33" s="10"/>
      <c r="B33" s="15" t="s">
        <v>178</v>
      </c>
      <c r="C33" s="10" t="s">
        <v>803</v>
      </c>
      <c r="D33" s="10" t="s">
        <v>824</v>
      </c>
      <c r="E33" s="10"/>
      <c r="F33" s="12"/>
      <c r="G33" s="12"/>
    </row>
    <row r="34" customFormat="false" ht="27.75" hidden="false" customHeight="true" outlineLevel="0" collapsed="false">
      <c r="A34" s="10"/>
      <c r="B34" s="15" t="s">
        <v>178</v>
      </c>
      <c r="C34" s="10" t="s">
        <v>803</v>
      </c>
      <c r="D34" s="10" t="s">
        <v>825</v>
      </c>
      <c r="E34" s="10"/>
      <c r="F34" s="12"/>
      <c r="G34" s="12"/>
    </row>
    <row r="35" customFormat="false" ht="27.75" hidden="false" customHeight="true" outlineLevel="0" collapsed="false">
      <c r="A35" s="10"/>
      <c r="B35" s="13" t="s">
        <v>111</v>
      </c>
      <c r="C35" s="10" t="s">
        <v>790</v>
      </c>
      <c r="D35" s="10" t="s">
        <v>826</v>
      </c>
      <c r="E35" s="10"/>
      <c r="F35" s="12"/>
      <c r="G35" s="12"/>
    </row>
    <row r="36" customFormat="false" ht="27.75" hidden="false" customHeight="true" outlineLevel="0" collapsed="false">
      <c r="A36" s="10"/>
      <c r="B36" s="13" t="s">
        <v>111</v>
      </c>
      <c r="C36" s="10" t="s">
        <v>790</v>
      </c>
      <c r="D36" s="10" t="s">
        <v>827</v>
      </c>
      <c r="E36" s="10"/>
      <c r="F36" s="12"/>
      <c r="G36" s="12"/>
    </row>
    <row r="37" customFormat="false" ht="27.75" hidden="false" customHeight="true" outlineLevel="0" collapsed="false">
      <c r="A37" s="16"/>
      <c r="B37" s="18" t="s">
        <v>111</v>
      </c>
      <c r="C37" s="16" t="s">
        <v>790</v>
      </c>
      <c r="D37" s="16" t="s">
        <v>828</v>
      </c>
      <c r="E37" s="16"/>
      <c r="F37" s="17"/>
      <c r="G37" s="17"/>
    </row>
    <row r="38" customFormat="false" ht="27.75" hidden="false" customHeight="true" outlineLevel="0" collapsed="false">
      <c r="A38" s="10" t="s">
        <v>286</v>
      </c>
      <c r="B38" s="14" t="s">
        <v>166</v>
      </c>
      <c r="C38" s="10" t="s">
        <v>798</v>
      </c>
      <c r="D38" s="10" t="s">
        <v>829</v>
      </c>
      <c r="E38" s="10"/>
      <c r="F38" s="12"/>
      <c r="G38" s="12"/>
    </row>
    <row r="39" customFormat="false" ht="42" hidden="false" customHeight="true" outlineLevel="0" collapsed="false">
      <c r="A39" s="10"/>
      <c r="B39" s="14" t="s">
        <v>166</v>
      </c>
      <c r="C39" s="10" t="s">
        <v>798</v>
      </c>
      <c r="D39" s="10" t="s">
        <v>830</v>
      </c>
      <c r="E39" s="10" t="s">
        <v>831</v>
      </c>
      <c r="F39" s="12"/>
      <c r="G39" s="12"/>
    </row>
    <row r="40" customFormat="false" ht="27.75" hidden="false" customHeight="true" outlineLevel="0" collapsed="false">
      <c r="A40" s="10"/>
      <c r="B40" s="14" t="s">
        <v>166</v>
      </c>
      <c r="C40" s="10" t="s">
        <v>798</v>
      </c>
      <c r="D40" s="10" t="s">
        <v>832</v>
      </c>
      <c r="E40" s="10"/>
      <c r="F40" s="12"/>
      <c r="G40" s="12"/>
    </row>
    <row r="41" customFormat="false" ht="27.75" hidden="false" customHeight="true" outlineLevel="0" collapsed="false">
      <c r="A41" s="10"/>
      <c r="B41" s="14" t="s">
        <v>166</v>
      </c>
      <c r="C41" s="10" t="s">
        <v>798</v>
      </c>
      <c r="D41" s="10" t="s">
        <v>833</v>
      </c>
      <c r="E41" s="10"/>
      <c r="F41" s="12"/>
      <c r="G41" s="12"/>
    </row>
    <row r="42" customFormat="false" ht="27.75" hidden="false" customHeight="true" outlineLevel="0" collapsed="false">
      <c r="A42" s="10"/>
      <c r="B42" s="14" t="s">
        <v>166</v>
      </c>
      <c r="C42" s="10" t="s">
        <v>798</v>
      </c>
      <c r="D42" s="10" t="s">
        <v>834</v>
      </c>
      <c r="E42" s="10"/>
      <c r="F42" s="12"/>
      <c r="G42" s="12"/>
    </row>
    <row r="43" customFormat="false" ht="27.75" hidden="false" customHeight="true" outlineLevel="0" collapsed="false">
      <c r="A43" s="10"/>
      <c r="B43" s="15" t="s">
        <v>178</v>
      </c>
      <c r="C43" s="10" t="s">
        <v>803</v>
      </c>
      <c r="D43" s="10" t="s">
        <v>835</v>
      </c>
      <c r="E43" s="10"/>
      <c r="F43" s="12"/>
      <c r="G43" s="12"/>
    </row>
    <row r="44" customFormat="false" ht="42" hidden="false" customHeight="true" outlineLevel="0" collapsed="false">
      <c r="A44" s="10"/>
      <c r="B44" s="15" t="s">
        <v>178</v>
      </c>
      <c r="C44" s="10" t="s">
        <v>803</v>
      </c>
      <c r="D44" s="10" t="s">
        <v>836</v>
      </c>
      <c r="E44" s="10" t="s">
        <v>837</v>
      </c>
      <c r="F44" s="12"/>
      <c r="G44" s="12"/>
    </row>
    <row r="45" customFormat="false" ht="27.75" hidden="false" customHeight="true" outlineLevel="0" collapsed="false">
      <c r="A45" s="10"/>
      <c r="B45" s="15" t="s">
        <v>178</v>
      </c>
      <c r="C45" s="10" t="s">
        <v>803</v>
      </c>
      <c r="D45" s="10" t="s">
        <v>838</v>
      </c>
      <c r="E45" s="10"/>
      <c r="F45" s="12"/>
      <c r="G45" s="12"/>
    </row>
    <row r="46" customFormat="false" ht="27.75" hidden="false" customHeight="true" outlineLevel="0" collapsed="false">
      <c r="A46" s="10"/>
      <c r="B46" s="15" t="s">
        <v>178</v>
      </c>
      <c r="C46" s="10" t="s">
        <v>803</v>
      </c>
      <c r="D46" s="10" t="s">
        <v>839</v>
      </c>
      <c r="E46" s="10"/>
      <c r="F46" s="12"/>
      <c r="G46" s="12"/>
    </row>
    <row r="47" customFormat="false" ht="27.75" hidden="false" customHeight="true" outlineLevel="0" collapsed="false">
      <c r="A47" s="10"/>
      <c r="B47" s="13" t="s">
        <v>111</v>
      </c>
      <c r="C47" s="10" t="s">
        <v>790</v>
      </c>
      <c r="D47" s="10" t="s">
        <v>840</v>
      </c>
      <c r="E47" s="10"/>
      <c r="F47" s="12"/>
      <c r="G47" s="12"/>
    </row>
    <row r="48" customFormat="false" ht="27.75" hidden="false" customHeight="true" outlineLevel="0" collapsed="false">
      <c r="A48" s="16"/>
      <c r="B48" s="18" t="s">
        <v>111</v>
      </c>
      <c r="C48" s="16" t="s">
        <v>790</v>
      </c>
      <c r="D48" s="16" t="s">
        <v>818</v>
      </c>
      <c r="E48" s="16"/>
      <c r="F48" s="17"/>
      <c r="G48" s="17"/>
    </row>
    <row r="49" customFormat="false" ht="27.75" hidden="false" customHeight="true" outlineLevel="0" collapsed="false">
      <c r="A49" s="10" t="s">
        <v>338</v>
      </c>
      <c r="B49" s="11" t="s">
        <v>53</v>
      </c>
      <c r="C49" s="10" t="s">
        <v>786</v>
      </c>
      <c r="D49" s="10" t="s">
        <v>841</v>
      </c>
      <c r="E49" s="10"/>
      <c r="F49" s="12"/>
      <c r="G49" s="12"/>
    </row>
    <row r="50" customFormat="false" ht="27.75" hidden="false" customHeight="true" outlineLevel="0" collapsed="false">
      <c r="A50" s="10"/>
      <c r="B50" s="11" t="s">
        <v>53</v>
      </c>
      <c r="C50" s="10" t="s">
        <v>786</v>
      </c>
      <c r="D50" s="10" t="s">
        <v>842</v>
      </c>
      <c r="E50" s="10"/>
      <c r="F50" s="12"/>
      <c r="G50" s="12"/>
    </row>
    <row r="51" customFormat="false" ht="27.75" hidden="false" customHeight="true" outlineLevel="0" collapsed="false">
      <c r="A51" s="10"/>
      <c r="B51" s="11" t="s">
        <v>53</v>
      </c>
      <c r="C51" s="10" t="s">
        <v>786</v>
      </c>
      <c r="D51" s="10" t="s">
        <v>843</v>
      </c>
      <c r="E51" s="10"/>
      <c r="F51" s="12"/>
      <c r="G51" s="12"/>
    </row>
    <row r="52" customFormat="false" ht="27.75" hidden="false" customHeight="true" outlineLevel="0" collapsed="false">
      <c r="A52" s="10"/>
      <c r="B52" s="11" t="s">
        <v>53</v>
      </c>
      <c r="C52" s="10" t="s">
        <v>786</v>
      </c>
      <c r="D52" s="10" t="s">
        <v>844</v>
      </c>
      <c r="E52" s="10"/>
      <c r="F52" s="12"/>
      <c r="G52" s="12"/>
    </row>
    <row r="53" customFormat="false" ht="27.75" hidden="false" customHeight="true" outlineLevel="0" collapsed="false">
      <c r="A53" s="10"/>
      <c r="B53" s="14" t="s">
        <v>166</v>
      </c>
      <c r="C53" s="10" t="s">
        <v>798</v>
      </c>
      <c r="D53" s="10" t="s">
        <v>845</v>
      </c>
      <c r="E53" s="10"/>
      <c r="F53" s="12"/>
      <c r="G53" s="12"/>
    </row>
    <row r="54" customFormat="false" ht="27.75" hidden="false" customHeight="true" outlineLevel="0" collapsed="false">
      <c r="A54" s="10"/>
      <c r="B54" s="14" t="s">
        <v>166</v>
      </c>
      <c r="C54" s="10" t="s">
        <v>798</v>
      </c>
      <c r="D54" s="10" t="s">
        <v>846</v>
      </c>
      <c r="E54" s="10"/>
      <c r="F54" s="12"/>
      <c r="G54" s="12"/>
    </row>
    <row r="55" customFormat="false" ht="27.75" hidden="false" customHeight="true" outlineLevel="0" collapsed="false">
      <c r="A55" s="10"/>
      <c r="B55" s="14" t="s">
        <v>166</v>
      </c>
      <c r="C55" s="10" t="s">
        <v>798</v>
      </c>
      <c r="D55" s="10" t="s">
        <v>847</v>
      </c>
      <c r="E55" s="10"/>
      <c r="F55" s="12"/>
      <c r="G55" s="12"/>
    </row>
    <row r="56" customFormat="false" ht="27.75" hidden="false" customHeight="true" outlineLevel="0" collapsed="false">
      <c r="A56" s="10"/>
      <c r="B56" s="15" t="s">
        <v>178</v>
      </c>
      <c r="C56" s="10" t="s">
        <v>803</v>
      </c>
      <c r="D56" s="10" t="s">
        <v>848</v>
      </c>
      <c r="E56" s="10"/>
      <c r="F56" s="12"/>
      <c r="G56" s="12"/>
    </row>
    <row r="57" customFormat="false" ht="27.75" hidden="false" customHeight="true" outlineLevel="0" collapsed="false">
      <c r="A57" s="10"/>
      <c r="B57" s="15" t="s">
        <v>178</v>
      </c>
      <c r="C57" s="10" t="s">
        <v>803</v>
      </c>
      <c r="D57" s="10" t="s">
        <v>849</v>
      </c>
      <c r="E57" s="10" t="s">
        <v>850</v>
      </c>
      <c r="F57" s="12"/>
      <c r="G57" s="12"/>
    </row>
    <row r="58" customFormat="false" ht="27.75" hidden="false" customHeight="true" outlineLevel="0" collapsed="false">
      <c r="A58" s="10"/>
      <c r="B58" s="15" t="s">
        <v>178</v>
      </c>
      <c r="C58" s="10" t="s">
        <v>803</v>
      </c>
      <c r="D58" s="10" t="s">
        <v>851</v>
      </c>
      <c r="E58" s="10"/>
      <c r="F58" s="12"/>
      <c r="G58" s="12"/>
    </row>
    <row r="59" customFormat="false" ht="27.75" hidden="false" customHeight="true" outlineLevel="0" collapsed="false">
      <c r="A59" s="10"/>
      <c r="B59" s="15" t="s">
        <v>178</v>
      </c>
      <c r="C59" s="10" t="s">
        <v>803</v>
      </c>
      <c r="D59" s="10" t="s">
        <v>852</v>
      </c>
      <c r="E59" s="10"/>
      <c r="F59" s="12"/>
      <c r="G59" s="12"/>
    </row>
    <row r="60" customFormat="false" ht="27.75" hidden="false" customHeight="true" outlineLevel="0" collapsed="false">
      <c r="A60" s="10"/>
      <c r="B60" s="13" t="s">
        <v>111</v>
      </c>
      <c r="C60" s="10" t="s">
        <v>790</v>
      </c>
      <c r="D60" s="10" t="s">
        <v>853</v>
      </c>
      <c r="E60" s="10"/>
      <c r="F60" s="12"/>
      <c r="G60" s="12"/>
    </row>
    <row r="61" customFormat="false" ht="27.75" hidden="false" customHeight="true" outlineLevel="0" collapsed="false">
      <c r="A61" s="16"/>
      <c r="B61" s="18" t="s">
        <v>111</v>
      </c>
      <c r="C61" s="16" t="s">
        <v>790</v>
      </c>
      <c r="D61" s="16" t="s">
        <v>854</v>
      </c>
      <c r="E61" s="16"/>
      <c r="F61" s="17"/>
      <c r="G61" s="17"/>
    </row>
    <row r="62" customFormat="false" ht="27.75" hidden="false" customHeight="true" outlineLevel="0" collapsed="false">
      <c r="A62" s="10" t="s">
        <v>405</v>
      </c>
      <c r="B62" s="11" t="s">
        <v>53</v>
      </c>
      <c r="C62" s="10" t="s">
        <v>786</v>
      </c>
      <c r="D62" s="10" t="s">
        <v>855</v>
      </c>
      <c r="E62" s="10"/>
      <c r="F62" s="12"/>
      <c r="G62" s="12"/>
    </row>
    <row r="63" customFormat="false" ht="42" hidden="false" customHeight="true" outlineLevel="0" collapsed="false">
      <c r="A63" s="10"/>
      <c r="B63" s="14" t="s">
        <v>166</v>
      </c>
      <c r="C63" s="10" t="s">
        <v>798</v>
      </c>
      <c r="D63" s="10" t="s">
        <v>856</v>
      </c>
      <c r="E63" s="10"/>
      <c r="F63" s="12"/>
      <c r="G63" s="12"/>
    </row>
    <row r="64" customFormat="false" ht="27.75" hidden="false" customHeight="true" outlineLevel="0" collapsed="false">
      <c r="A64" s="10"/>
      <c r="B64" s="14" t="s">
        <v>166</v>
      </c>
      <c r="C64" s="10" t="s">
        <v>798</v>
      </c>
      <c r="D64" s="10" t="s">
        <v>857</v>
      </c>
      <c r="E64" s="10"/>
      <c r="F64" s="12"/>
      <c r="G64" s="12"/>
    </row>
    <row r="65" customFormat="false" ht="27.75" hidden="false" customHeight="true" outlineLevel="0" collapsed="false">
      <c r="A65" s="10"/>
      <c r="B65" s="15" t="s">
        <v>178</v>
      </c>
      <c r="C65" s="10" t="s">
        <v>803</v>
      </c>
      <c r="D65" s="10" t="s">
        <v>858</v>
      </c>
      <c r="E65" s="10"/>
      <c r="F65" s="12"/>
      <c r="G65" s="12"/>
    </row>
    <row r="66" customFormat="false" ht="27.75" hidden="false" customHeight="true" outlineLevel="0" collapsed="false">
      <c r="A66" s="10"/>
      <c r="B66" s="15" t="s">
        <v>178</v>
      </c>
      <c r="C66" s="10" t="s">
        <v>803</v>
      </c>
      <c r="D66" s="10" t="s">
        <v>859</v>
      </c>
      <c r="E66" s="10"/>
      <c r="F66" s="12"/>
      <c r="G66" s="12"/>
    </row>
    <row r="67" customFormat="false" ht="27.75" hidden="false" customHeight="true" outlineLevel="0" collapsed="false">
      <c r="A67" s="10"/>
      <c r="B67" s="15" t="s">
        <v>178</v>
      </c>
      <c r="C67" s="10" t="s">
        <v>803</v>
      </c>
      <c r="D67" s="10" t="s">
        <v>860</v>
      </c>
      <c r="E67" s="10"/>
      <c r="F67" s="12"/>
      <c r="G67" s="12"/>
    </row>
    <row r="68" customFormat="false" ht="27.75" hidden="false" customHeight="true" outlineLevel="0" collapsed="false">
      <c r="A68" s="10"/>
      <c r="B68" s="13" t="s">
        <v>111</v>
      </c>
      <c r="C68" s="10" t="s">
        <v>790</v>
      </c>
      <c r="D68" s="10" t="s">
        <v>861</v>
      </c>
      <c r="E68" s="10"/>
      <c r="F68" s="12"/>
      <c r="G68" s="12"/>
    </row>
    <row r="69" customFormat="false" ht="27.75" hidden="false" customHeight="true" outlineLevel="0" collapsed="false">
      <c r="A69" s="16"/>
      <c r="B69" s="18" t="s">
        <v>111</v>
      </c>
      <c r="C69" s="16" t="s">
        <v>790</v>
      </c>
      <c r="D69" s="16" t="s">
        <v>862</v>
      </c>
      <c r="E69" s="16"/>
      <c r="F69" s="17"/>
      <c r="G69" s="17"/>
    </row>
    <row r="70" customFormat="false" ht="27.75" hidden="false" customHeight="true" outlineLevel="0" collapsed="false">
      <c r="A70" s="10" t="s">
        <v>448</v>
      </c>
      <c r="B70" s="14" t="s">
        <v>166</v>
      </c>
      <c r="C70" s="10" t="s">
        <v>798</v>
      </c>
      <c r="D70" s="10" t="s">
        <v>863</v>
      </c>
      <c r="E70" s="10"/>
      <c r="F70" s="12"/>
      <c r="G70" s="12"/>
    </row>
    <row r="71" customFormat="false" ht="27.75" hidden="false" customHeight="true" outlineLevel="0" collapsed="false">
      <c r="A71" s="10"/>
      <c r="B71" s="14" t="s">
        <v>166</v>
      </c>
      <c r="C71" s="10" t="s">
        <v>798</v>
      </c>
      <c r="D71" s="10" t="s">
        <v>864</v>
      </c>
      <c r="E71" s="10"/>
      <c r="F71" s="12"/>
      <c r="G71" s="12"/>
    </row>
    <row r="72" customFormat="false" ht="27.75" hidden="false" customHeight="true" outlineLevel="0" collapsed="false">
      <c r="A72" s="10"/>
      <c r="B72" s="14" t="s">
        <v>166</v>
      </c>
      <c r="C72" s="10" t="s">
        <v>798</v>
      </c>
      <c r="D72" s="10" t="s">
        <v>865</v>
      </c>
      <c r="E72" s="10"/>
      <c r="F72" s="12"/>
      <c r="G72" s="12"/>
    </row>
    <row r="73" customFormat="false" ht="27.75" hidden="false" customHeight="true" outlineLevel="0" collapsed="false">
      <c r="A73" s="10"/>
      <c r="B73" s="14" t="s">
        <v>166</v>
      </c>
      <c r="C73" s="10" t="s">
        <v>798</v>
      </c>
      <c r="D73" s="10" t="s">
        <v>866</v>
      </c>
      <c r="E73" s="10"/>
      <c r="F73" s="12"/>
      <c r="G73" s="12"/>
    </row>
    <row r="74" customFormat="false" ht="27.75" hidden="false" customHeight="true" outlineLevel="0" collapsed="false">
      <c r="A74" s="10"/>
      <c r="B74" s="15" t="s">
        <v>178</v>
      </c>
      <c r="C74" s="10" t="s">
        <v>803</v>
      </c>
      <c r="D74" s="10" t="s">
        <v>867</v>
      </c>
      <c r="E74" s="10"/>
      <c r="F74" s="12"/>
      <c r="G74" s="12"/>
    </row>
    <row r="75" customFormat="false" ht="27.75" hidden="false" customHeight="true" outlineLevel="0" collapsed="false">
      <c r="A75" s="10"/>
      <c r="B75" s="15" t="s">
        <v>178</v>
      </c>
      <c r="C75" s="10" t="s">
        <v>803</v>
      </c>
      <c r="D75" s="10" t="s">
        <v>868</v>
      </c>
      <c r="E75" s="10"/>
      <c r="F75" s="12"/>
      <c r="G75" s="12"/>
    </row>
    <row r="76" customFormat="false" ht="27.75" hidden="false" customHeight="true" outlineLevel="0" collapsed="false">
      <c r="A76" s="10"/>
      <c r="B76" s="15" t="s">
        <v>178</v>
      </c>
      <c r="C76" s="10" t="s">
        <v>803</v>
      </c>
      <c r="D76" s="10" t="s">
        <v>869</v>
      </c>
      <c r="E76" s="10"/>
      <c r="F76" s="12"/>
      <c r="G76" s="12"/>
    </row>
    <row r="77" customFormat="false" ht="27.75" hidden="false" customHeight="true" outlineLevel="0" collapsed="false">
      <c r="A77" s="10"/>
      <c r="B77" s="13" t="s">
        <v>111</v>
      </c>
      <c r="C77" s="10" t="s">
        <v>790</v>
      </c>
      <c r="D77" s="10" t="s">
        <v>853</v>
      </c>
      <c r="E77" s="10"/>
      <c r="F77" s="12"/>
      <c r="G77" s="12"/>
    </row>
    <row r="78" customFormat="false" ht="27.75" hidden="false" customHeight="true" outlineLevel="0" collapsed="false">
      <c r="A78" s="16"/>
      <c r="B78" s="18" t="s">
        <v>111</v>
      </c>
      <c r="C78" s="16" t="s">
        <v>790</v>
      </c>
      <c r="D78" s="16" t="s">
        <v>870</v>
      </c>
      <c r="E78" s="16"/>
      <c r="F78" s="17"/>
      <c r="G78" s="17"/>
    </row>
    <row r="79" customFormat="false" ht="27.75" hidden="false" customHeight="true" outlineLevel="0" collapsed="false">
      <c r="A79" s="10" t="s">
        <v>470</v>
      </c>
      <c r="B79" s="14" t="s">
        <v>166</v>
      </c>
      <c r="C79" s="10" t="s">
        <v>798</v>
      </c>
      <c r="D79" s="10" t="s">
        <v>871</v>
      </c>
      <c r="E79" s="10"/>
      <c r="F79" s="12"/>
      <c r="G79" s="12"/>
    </row>
    <row r="80" customFormat="false" ht="27.75" hidden="false" customHeight="true" outlineLevel="0" collapsed="false">
      <c r="A80" s="10"/>
      <c r="B80" s="14" t="s">
        <v>166</v>
      </c>
      <c r="C80" s="10" t="s">
        <v>798</v>
      </c>
      <c r="D80" s="10" t="s">
        <v>872</v>
      </c>
      <c r="E80" s="10"/>
      <c r="F80" s="12"/>
      <c r="G80" s="12"/>
    </row>
    <row r="81" customFormat="false" ht="27.75" hidden="false" customHeight="true" outlineLevel="0" collapsed="false">
      <c r="A81" s="10"/>
      <c r="B81" s="14" t="s">
        <v>166</v>
      </c>
      <c r="C81" s="10" t="s">
        <v>798</v>
      </c>
      <c r="D81" s="10" t="s">
        <v>873</v>
      </c>
      <c r="E81" s="10"/>
      <c r="F81" s="12"/>
      <c r="G81" s="12"/>
    </row>
    <row r="82" customFormat="false" ht="27.75" hidden="false" customHeight="true" outlineLevel="0" collapsed="false">
      <c r="A82" s="10"/>
      <c r="B82" s="14" t="s">
        <v>166</v>
      </c>
      <c r="C82" s="10" t="s">
        <v>798</v>
      </c>
      <c r="D82" s="10" t="s">
        <v>874</v>
      </c>
      <c r="E82" s="10"/>
      <c r="F82" s="12"/>
      <c r="G82" s="12"/>
    </row>
    <row r="83" customFormat="false" ht="27.75" hidden="false" customHeight="true" outlineLevel="0" collapsed="false">
      <c r="A83" s="10"/>
      <c r="B83" s="15" t="s">
        <v>178</v>
      </c>
      <c r="C83" s="10" t="s">
        <v>803</v>
      </c>
      <c r="D83" s="10" t="s">
        <v>875</v>
      </c>
      <c r="E83" s="10"/>
      <c r="F83" s="12"/>
      <c r="G83" s="12"/>
    </row>
    <row r="84" customFormat="false" ht="27.75" hidden="false" customHeight="true" outlineLevel="0" collapsed="false">
      <c r="A84" s="10"/>
      <c r="B84" s="15" t="s">
        <v>178</v>
      </c>
      <c r="C84" s="10" t="s">
        <v>803</v>
      </c>
      <c r="D84" s="10" t="s">
        <v>876</v>
      </c>
      <c r="E84" s="10"/>
      <c r="F84" s="12"/>
      <c r="G84" s="12"/>
    </row>
    <row r="85" customFormat="false" ht="27.75" hidden="false" customHeight="true" outlineLevel="0" collapsed="false">
      <c r="A85" s="10"/>
      <c r="B85" s="13" t="s">
        <v>111</v>
      </c>
      <c r="C85" s="10" t="s">
        <v>790</v>
      </c>
      <c r="D85" s="10" t="s">
        <v>877</v>
      </c>
      <c r="E85" s="10"/>
      <c r="F85" s="12"/>
      <c r="G85" s="12"/>
    </row>
    <row r="86" customFormat="false" ht="27.75" hidden="false" customHeight="true" outlineLevel="0" collapsed="false">
      <c r="A86" s="16"/>
      <c r="B86" s="18" t="s">
        <v>111</v>
      </c>
      <c r="C86" s="16" t="s">
        <v>790</v>
      </c>
      <c r="D86" s="16" t="s">
        <v>828</v>
      </c>
      <c r="E86" s="16"/>
      <c r="F86" s="17"/>
      <c r="G86" s="17"/>
    </row>
    <row r="87" customFormat="false" ht="27.75" hidden="false" customHeight="true" outlineLevel="0" collapsed="false">
      <c r="A87" s="10" t="s">
        <v>501</v>
      </c>
      <c r="B87" s="14" t="s">
        <v>166</v>
      </c>
      <c r="C87" s="10" t="s">
        <v>798</v>
      </c>
      <c r="D87" s="10" t="s">
        <v>878</v>
      </c>
      <c r="E87" s="10"/>
      <c r="F87" s="12"/>
      <c r="G87" s="12"/>
    </row>
    <row r="88" customFormat="false" ht="27.75" hidden="false" customHeight="true" outlineLevel="0" collapsed="false">
      <c r="A88" s="10"/>
      <c r="B88" s="14" t="s">
        <v>166</v>
      </c>
      <c r="C88" s="10" t="s">
        <v>798</v>
      </c>
      <c r="D88" s="10" t="s">
        <v>879</v>
      </c>
      <c r="E88" s="10"/>
      <c r="F88" s="12"/>
      <c r="G88" s="12"/>
    </row>
    <row r="89" customFormat="false" ht="27.75" hidden="false" customHeight="true" outlineLevel="0" collapsed="false">
      <c r="A89" s="10"/>
      <c r="B89" s="14" t="s">
        <v>166</v>
      </c>
      <c r="C89" s="10" t="s">
        <v>798</v>
      </c>
      <c r="D89" s="10" t="s">
        <v>880</v>
      </c>
      <c r="E89" s="10"/>
      <c r="F89" s="12"/>
      <c r="G89" s="12"/>
    </row>
    <row r="90" customFormat="false" ht="27.75" hidden="false" customHeight="true" outlineLevel="0" collapsed="false">
      <c r="A90" s="10"/>
      <c r="B90" s="14" t="s">
        <v>166</v>
      </c>
      <c r="C90" s="10" t="s">
        <v>798</v>
      </c>
      <c r="D90" s="10" t="s">
        <v>881</v>
      </c>
      <c r="E90" s="10"/>
      <c r="F90" s="12"/>
      <c r="G90" s="12"/>
    </row>
    <row r="91" customFormat="false" ht="27.75" hidden="false" customHeight="true" outlineLevel="0" collapsed="false">
      <c r="A91" s="10"/>
      <c r="B91" s="15" t="s">
        <v>178</v>
      </c>
      <c r="C91" s="10" t="s">
        <v>803</v>
      </c>
      <c r="D91" s="10" t="s">
        <v>882</v>
      </c>
      <c r="E91" s="10"/>
      <c r="F91" s="12"/>
      <c r="G91" s="12"/>
    </row>
    <row r="92" customFormat="false" ht="27.75" hidden="false" customHeight="true" outlineLevel="0" collapsed="false">
      <c r="A92" s="10"/>
      <c r="B92" s="15" t="s">
        <v>178</v>
      </c>
      <c r="C92" s="10" t="s">
        <v>803</v>
      </c>
      <c r="D92" s="10" t="s">
        <v>883</v>
      </c>
      <c r="E92" s="10"/>
      <c r="F92" s="12"/>
      <c r="G92" s="12"/>
    </row>
    <row r="93" customFormat="false" ht="27.75" hidden="false" customHeight="true" outlineLevel="0" collapsed="false">
      <c r="A93" s="10"/>
      <c r="B93" s="15" t="s">
        <v>178</v>
      </c>
      <c r="C93" s="10" t="s">
        <v>803</v>
      </c>
      <c r="D93" s="10" t="s">
        <v>884</v>
      </c>
      <c r="E93" s="10"/>
      <c r="F93" s="12"/>
      <c r="G93" s="12"/>
    </row>
    <row r="94" customFormat="false" ht="27.75" hidden="false" customHeight="true" outlineLevel="0" collapsed="false">
      <c r="A94" s="10"/>
      <c r="B94" s="13" t="s">
        <v>111</v>
      </c>
      <c r="C94" s="10" t="s">
        <v>790</v>
      </c>
      <c r="D94" s="10" t="s">
        <v>885</v>
      </c>
      <c r="E94" s="10"/>
      <c r="F94" s="12"/>
      <c r="G94" s="12"/>
    </row>
    <row r="95" customFormat="false" ht="27.75" hidden="false" customHeight="true" outlineLevel="0" collapsed="false">
      <c r="A95" s="10"/>
      <c r="B95" s="13" t="s">
        <v>111</v>
      </c>
      <c r="C95" s="10" t="s">
        <v>790</v>
      </c>
      <c r="D95" s="10" t="s">
        <v>886</v>
      </c>
      <c r="E95" s="10"/>
      <c r="F95" s="12"/>
      <c r="G95" s="12"/>
    </row>
    <row r="96" customFormat="false" ht="15" hidden="false" customHeight="false" outlineLevel="0" collapsed="false">
      <c r="A96" s="16"/>
      <c r="B96" s="16" t="s">
        <v>794</v>
      </c>
      <c r="C96" s="16"/>
      <c r="D96" s="16" t="s">
        <v>887</v>
      </c>
      <c r="E96" s="16"/>
      <c r="F96" s="17"/>
      <c r="G96" s="17"/>
    </row>
    <row r="97" customFormat="false" ht="27.75" hidden="false" customHeight="true" outlineLevel="0" collapsed="false">
      <c r="A97" s="10" t="s">
        <v>512</v>
      </c>
      <c r="B97" s="11" t="s">
        <v>53</v>
      </c>
      <c r="C97" s="10" t="s">
        <v>786</v>
      </c>
      <c r="D97" s="10" t="s">
        <v>888</v>
      </c>
      <c r="E97" s="10"/>
      <c r="F97" s="12"/>
      <c r="G97" s="12"/>
    </row>
    <row r="98" customFormat="false" ht="27.75" hidden="false" customHeight="true" outlineLevel="0" collapsed="false">
      <c r="A98" s="10"/>
      <c r="B98" s="11" t="s">
        <v>53</v>
      </c>
      <c r="C98" s="10" t="s">
        <v>786</v>
      </c>
      <c r="D98" s="10" t="s">
        <v>889</v>
      </c>
      <c r="E98" s="10"/>
      <c r="F98" s="12"/>
      <c r="G98" s="12"/>
    </row>
    <row r="99" customFormat="false" ht="27.75" hidden="false" customHeight="true" outlineLevel="0" collapsed="false">
      <c r="A99" s="10"/>
      <c r="B99" s="14" t="s">
        <v>166</v>
      </c>
      <c r="C99" s="10" t="s">
        <v>798</v>
      </c>
      <c r="D99" s="10" t="s">
        <v>890</v>
      </c>
      <c r="E99" s="10"/>
      <c r="F99" s="12"/>
      <c r="G99" s="12"/>
    </row>
    <row r="100" customFormat="false" ht="42" hidden="false" customHeight="true" outlineLevel="0" collapsed="false">
      <c r="A100" s="10"/>
      <c r="B100" s="14" t="s">
        <v>166</v>
      </c>
      <c r="C100" s="10" t="s">
        <v>798</v>
      </c>
      <c r="D100" s="10" t="s">
        <v>891</v>
      </c>
      <c r="E100" s="10" t="s">
        <v>892</v>
      </c>
      <c r="F100" s="12"/>
      <c r="G100" s="12"/>
    </row>
    <row r="101" customFormat="false" ht="27.75" hidden="false" customHeight="true" outlineLevel="0" collapsed="false">
      <c r="A101" s="10"/>
      <c r="B101" s="14" t="s">
        <v>166</v>
      </c>
      <c r="C101" s="10" t="s">
        <v>798</v>
      </c>
      <c r="D101" s="10" t="s">
        <v>893</v>
      </c>
      <c r="E101" s="10"/>
      <c r="F101" s="12"/>
      <c r="G101" s="12"/>
    </row>
    <row r="102" customFormat="false" ht="27.75" hidden="false" customHeight="true" outlineLevel="0" collapsed="false">
      <c r="A102" s="10"/>
      <c r="B102" s="15" t="s">
        <v>178</v>
      </c>
      <c r="C102" s="10" t="s">
        <v>803</v>
      </c>
      <c r="D102" s="10" t="s">
        <v>894</v>
      </c>
      <c r="E102" s="10"/>
      <c r="F102" s="12"/>
      <c r="G102" s="12"/>
    </row>
    <row r="103" customFormat="false" ht="27.75" hidden="false" customHeight="true" outlineLevel="0" collapsed="false">
      <c r="A103" s="16"/>
      <c r="B103" s="18" t="s">
        <v>111</v>
      </c>
      <c r="C103" s="16" t="s">
        <v>790</v>
      </c>
      <c r="D103" s="16" t="s">
        <v>895</v>
      </c>
      <c r="E103" s="16"/>
      <c r="F103" s="17"/>
      <c r="G103" s="17"/>
    </row>
    <row r="104" customFormat="false" ht="27.75" hidden="false" customHeight="true" outlineLevel="0" collapsed="false">
      <c r="A104" s="10" t="s">
        <v>578</v>
      </c>
      <c r="B104" s="11" t="s">
        <v>53</v>
      </c>
      <c r="C104" s="10" t="s">
        <v>786</v>
      </c>
      <c r="D104" s="10" t="s">
        <v>896</v>
      </c>
      <c r="E104" s="19" t="s">
        <v>897</v>
      </c>
      <c r="F104" s="12"/>
      <c r="G104" s="12"/>
    </row>
    <row r="105" customFormat="false" ht="27.75" hidden="false" customHeight="true" outlineLevel="0" collapsed="false">
      <c r="A105" s="10"/>
      <c r="B105" s="11" t="s">
        <v>53</v>
      </c>
      <c r="C105" s="10" t="s">
        <v>786</v>
      </c>
      <c r="D105" s="10" t="s">
        <v>898</v>
      </c>
      <c r="E105" s="19" t="s">
        <v>897</v>
      </c>
      <c r="F105" s="12"/>
      <c r="G105" s="12"/>
    </row>
    <row r="106" customFormat="false" ht="27.75" hidden="false" customHeight="true" outlineLevel="0" collapsed="false">
      <c r="A106" s="10"/>
      <c r="B106" s="11" t="s">
        <v>53</v>
      </c>
      <c r="C106" s="10" t="s">
        <v>786</v>
      </c>
      <c r="D106" s="10" t="s">
        <v>899</v>
      </c>
      <c r="E106" s="19" t="s">
        <v>897</v>
      </c>
      <c r="F106" s="12"/>
      <c r="G106" s="12"/>
    </row>
    <row r="107" customFormat="false" ht="27.75" hidden="false" customHeight="true" outlineLevel="0" collapsed="false">
      <c r="A107" s="10"/>
      <c r="B107" s="11" t="s">
        <v>53</v>
      </c>
      <c r="C107" s="10" t="s">
        <v>786</v>
      </c>
      <c r="D107" s="10" t="s">
        <v>900</v>
      </c>
      <c r="E107" s="19" t="s">
        <v>897</v>
      </c>
      <c r="F107" s="12"/>
      <c r="G107" s="12"/>
    </row>
    <row r="108" customFormat="false" ht="27.75" hidden="false" customHeight="true" outlineLevel="0" collapsed="false">
      <c r="A108" s="10"/>
      <c r="B108" s="14" t="s">
        <v>166</v>
      </c>
      <c r="C108" s="10" t="s">
        <v>798</v>
      </c>
      <c r="D108" s="10" t="s">
        <v>901</v>
      </c>
      <c r="E108" s="19" t="s">
        <v>897</v>
      </c>
      <c r="F108" s="12"/>
      <c r="G108" s="12"/>
    </row>
    <row r="109" customFormat="false" ht="27.75" hidden="false" customHeight="true" outlineLevel="0" collapsed="false">
      <c r="A109" s="10"/>
      <c r="B109" s="14" t="s">
        <v>166</v>
      </c>
      <c r="C109" s="10" t="s">
        <v>798</v>
      </c>
      <c r="D109" s="10" t="s">
        <v>902</v>
      </c>
      <c r="E109" s="19" t="s">
        <v>897</v>
      </c>
      <c r="F109" s="12"/>
      <c r="G109" s="12"/>
    </row>
    <row r="110" customFormat="false" ht="27.75" hidden="false" customHeight="true" outlineLevel="0" collapsed="false">
      <c r="A110" s="10"/>
      <c r="B110" s="14" t="s">
        <v>166</v>
      </c>
      <c r="C110" s="10" t="s">
        <v>798</v>
      </c>
      <c r="D110" s="10" t="s">
        <v>903</v>
      </c>
      <c r="E110" s="19" t="s">
        <v>897</v>
      </c>
      <c r="F110" s="12"/>
      <c r="G110" s="12"/>
    </row>
    <row r="111" customFormat="false" ht="27.75" hidden="false" customHeight="true" outlineLevel="0" collapsed="false">
      <c r="A111" s="10"/>
      <c r="B111" s="15" t="s">
        <v>178</v>
      </c>
      <c r="C111" s="10" t="s">
        <v>803</v>
      </c>
      <c r="D111" s="10" t="s">
        <v>904</v>
      </c>
      <c r="E111" s="19" t="s">
        <v>897</v>
      </c>
      <c r="F111" s="12"/>
      <c r="G111" s="12"/>
    </row>
    <row r="112" customFormat="false" ht="27.75" hidden="false" customHeight="true" outlineLevel="0" collapsed="false">
      <c r="A112" s="10"/>
      <c r="B112" s="15" t="s">
        <v>178</v>
      </c>
      <c r="C112" s="10" t="s">
        <v>803</v>
      </c>
      <c r="D112" s="10" t="s">
        <v>905</v>
      </c>
      <c r="E112" s="19" t="s">
        <v>897</v>
      </c>
      <c r="F112" s="12"/>
      <c r="G112" s="12"/>
    </row>
    <row r="113" customFormat="false" ht="27.75" hidden="false" customHeight="true" outlineLevel="0" collapsed="false">
      <c r="A113" s="10"/>
      <c r="B113" s="13" t="s">
        <v>111</v>
      </c>
      <c r="C113" s="10" t="s">
        <v>790</v>
      </c>
      <c r="D113" s="10" t="s">
        <v>906</v>
      </c>
      <c r="E113" s="19" t="s">
        <v>897</v>
      </c>
      <c r="F113" s="12"/>
      <c r="G113" s="12"/>
    </row>
    <row r="114" customFormat="false" ht="27.75" hidden="false" customHeight="true" outlineLevel="0" collapsed="false">
      <c r="A114" s="16"/>
      <c r="B114" s="18" t="s">
        <v>111</v>
      </c>
      <c r="C114" s="16" t="s">
        <v>790</v>
      </c>
      <c r="D114" s="16" t="s">
        <v>828</v>
      </c>
      <c r="E114" s="20" t="s">
        <v>897</v>
      </c>
      <c r="F114" s="17"/>
      <c r="G114" s="17"/>
    </row>
    <row r="115" customFormat="false" ht="27.75" hidden="false" customHeight="true" outlineLevel="0" collapsed="false">
      <c r="A115" s="10" t="s">
        <v>666</v>
      </c>
      <c r="B115" s="11" t="s">
        <v>53</v>
      </c>
      <c r="C115" s="10" t="s">
        <v>786</v>
      </c>
      <c r="D115" s="10" t="s">
        <v>907</v>
      </c>
      <c r="E115" s="10"/>
      <c r="F115" s="12"/>
      <c r="G115" s="12"/>
    </row>
    <row r="116" customFormat="false" ht="27.75" hidden="false" customHeight="true" outlineLevel="0" collapsed="false">
      <c r="A116" s="10"/>
      <c r="B116" s="11" t="s">
        <v>53</v>
      </c>
      <c r="C116" s="10" t="s">
        <v>786</v>
      </c>
      <c r="D116" s="10" t="s">
        <v>908</v>
      </c>
      <c r="E116" s="10"/>
      <c r="F116" s="12"/>
      <c r="G116" s="12"/>
    </row>
    <row r="117" customFormat="false" ht="27.75" hidden="false" customHeight="true" outlineLevel="0" collapsed="false">
      <c r="A117" s="10"/>
      <c r="B117" s="11" t="s">
        <v>53</v>
      </c>
      <c r="C117" s="10" t="s">
        <v>786</v>
      </c>
      <c r="D117" s="10" t="s">
        <v>909</v>
      </c>
      <c r="E117" s="10"/>
      <c r="F117" s="12"/>
      <c r="G117" s="12"/>
    </row>
    <row r="118" customFormat="false" ht="27.75" hidden="false" customHeight="true" outlineLevel="0" collapsed="false">
      <c r="A118" s="10"/>
      <c r="B118" s="14" t="s">
        <v>166</v>
      </c>
      <c r="C118" s="10" t="s">
        <v>798</v>
      </c>
      <c r="D118" s="10" t="s">
        <v>910</v>
      </c>
      <c r="E118" s="10"/>
      <c r="F118" s="12"/>
      <c r="G118" s="12"/>
    </row>
    <row r="119" customFormat="false" ht="42" hidden="false" customHeight="true" outlineLevel="0" collapsed="false">
      <c r="A119" s="10"/>
      <c r="B119" s="14" t="s">
        <v>166</v>
      </c>
      <c r="C119" s="10" t="s">
        <v>798</v>
      </c>
      <c r="D119" s="10" t="s">
        <v>911</v>
      </c>
      <c r="E119" s="10"/>
      <c r="F119" s="12"/>
      <c r="G119" s="12"/>
    </row>
    <row r="120" customFormat="false" ht="27.75" hidden="false" customHeight="true" outlineLevel="0" collapsed="false">
      <c r="A120" s="10"/>
      <c r="B120" s="14" t="s">
        <v>166</v>
      </c>
      <c r="C120" s="10" t="s">
        <v>798</v>
      </c>
      <c r="D120" s="10" t="s">
        <v>912</v>
      </c>
      <c r="E120" s="10"/>
      <c r="F120" s="12"/>
      <c r="G120" s="12"/>
    </row>
    <row r="121" customFormat="false" ht="27.75" hidden="false" customHeight="true" outlineLevel="0" collapsed="false">
      <c r="A121" s="10"/>
      <c r="B121" s="15" t="s">
        <v>178</v>
      </c>
      <c r="C121" s="10" t="s">
        <v>803</v>
      </c>
      <c r="D121" s="10" t="s">
        <v>913</v>
      </c>
      <c r="E121" s="10"/>
      <c r="F121" s="12"/>
      <c r="G121" s="12"/>
    </row>
    <row r="122" customFormat="false" ht="27.75" hidden="false" customHeight="true" outlineLevel="0" collapsed="false">
      <c r="A122" s="10"/>
      <c r="B122" s="15" t="s">
        <v>178</v>
      </c>
      <c r="C122" s="10" t="s">
        <v>803</v>
      </c>
      <c r="D122" s="10" t="s">
        <v>914</v>
      </c>
      <c r="E122" s="10"/>
      <c r="F122" s="12"/>
      <c r="G122" s="12"/>
    </row>
    <row r="123" customFormat="false" ht="27.75" hidden="false" customHeight="true" outlineLevel="0" collapsed="false">
      <c r="A123" s="10"/>
      <c r="B123" s="15" t="s">
        <v>178</v>
      </c>
      <c r="C123" s="10" t="s">
        <v>803</v>
      </c>
      <c r="D123" s="10" t="s">
        <v>915</v>
      </c>
      <c r="E123" s="10"/>
      <c r="F123" s="12"/>
      <c r="G123" s="12"/>
    </row>
    <row r="124" customFormat="false" ht="27.75" hidden="false" customHeight="true" outlineLevel="0" collapsed="false">
      <c r="A124" s="10"/>
      <c r="B124" s="13" t="s">
        <v>111</v>
      </c>
      <c r="C124" s="10" t="s">
        <v>790</v>
      </c>
      <c r="D124" s="10" t="s">
        <v>853</v>
      </c>
      <c r="E124" s="10"/>
      <c r="F124" s="12"/>
      <c r="G124" s="12"/>
    </row>
    <row r="125" customFormat="false" ht="27.75" hidden="false" customHeight="true" outlineLevel="0" collapsed="false">
      <c r="A125" s="16"/>
      <c r="B125" s="18" t="s">
        <v>111</v>
      </c>
      <c r="C125" s="16" t="s">
        <v>790</v>
      </c>
      <c r="D125" s="16" t="s">
        <v>916</v>
      </c>
      <c r="E125" s="16"/>
      <c r="F125" s="17"/>
      <c r="G125" s="17"/>
    </row>
    <row r="126" customFormat="false" ht="27.75" hidden="false" customHeight="true" outlineLevel="0" collapsed="false">
      <c r="A126" s="10" t="s">
        <v>716</v>
      </c>
      <c r="B126" s="15" t="s">
        <v>178</v>
      </c>
      <c r="C126" s="10" t="s">
        <v>803</v>
      </c>
      <c r="D126" s="10" t="s">
        <v>917</v>
      </c>
      <c r="E126" s="10"/>
      <c r="F126" s="12"/>
      <c r="G126" s="12"/>
    </row>
    <row r="127" customFormat="false" ht="27.75" hidden="false" customHeight="true" outlineLevel="0" collapsed="false">
      <c r="A127" s="10"/>
      <c r="B127" s="15" t="s">
        <v>178</v>
      </c>
      <c r="C127" s="10" t="s">
        <v>803</v>
      </c>
      <c r="D127" s="10" t="s">
        <v>918</v>
      </c>
      <c r="E127" s="10"/>
      <c r="F127" s="12"/>
      <c r="G127" s="12"/>
    </row>
    <row r="128" customFormat="false" ht="27.75" hidden="false" customHeight="true" outlineLevel="0" collapsed="false">
      <c r="A128" s="10"/>
      <c r="B128" s="15" t="s">
        <v>178</v>
      </c>
      <c r="C128" s="10" t="s">
        <v>803</v>
      </c>
      <c r="D128" s="10" t="s">
        <v>860</v>
      </c>
      <c r="E128" s="10"/>
      <c r="F128" s="12"/>
      <c r="G128" s="12"/>
    </row>
    <row r="129" customFormat="false" ht="27.75" hidden="false" customHeight="true" outlineLevel="0" collapsed="false">
      <c r="A129" s="10"/>
      <c r="B129" s="13" t="s">
        <v>111</v>
      </c>
      <c r="C129" s="10" t="s">
        <v>790</v>
      </c>
      <c r="D129" s="10" t="s">
        <v>919</v>
      </c>
      <c r="E129" s="10"/>
      <c r="F129" s="12"/>
      <c r="G129" s="12"/>
    </row>
    <row r="130" customFormat="false" ht="27.75" hidden="false" customHeight="true" outlineLevel="0" collapsed="false">
      <c r="A130" s="16"/>
      <c r="B130" s="18" t="s">
        <v>111</v>
      </c>
      <c r="C130" s="16" t="s">
        <v>790</v>
      </c>
      <c r="D130" s="16" t="s">
        <v>920</v>
      </c>
      <c r="E130" s="16"/>
      <c r="F130" s="17"/>
      <c r="G130" s="17"/>
    </row>
    <row r="131" customFormat="false" ht="27.75" hidden="false" customHeight="true" outlineLevel="0" collapsed="false">
      <c r="A131" s="10" t="s">
        <v>749</v>
      </c>
      <c r="B131" s="14" t="s">
        <v>166</v>
      </c>
      <c r="C131" s="10" t="s">
        <v>798</v>
      </c>
      <c r="D131" s="10" t="s">
        <v>921</v>
      </c>
      <c r="E131" s="10"/>
      <c r="F131" s="12"/>
      <c r="G131" s="12"/>
    </row>
    <row r="132" customFormat="false" ht="27.75" hidden="false" customHeight="true" outlineLevel="0" collapsed="false">
      <c r="A132" s="10"/>
      <c r="B132" s="14" t="s">
        <v>166</v>
      </c>
      <c r="C132" s="10" t="s">
        <v>798</v>
      </c>
      <c r="D132" s="10" t="s">
        <v>922</v>
      </c>
      <c r="E132" s="10"/>
      <c r="F132" s="12"/>
      <c r="G132" s="12"/>
    </row>
    <row r="133" customFormat="false" ht="27.75" hidden="false" customHeight="true" outlineLevel="0" collapsed="false">
      <c r="A133" s="10"/>
      <c r="B133" s="14" t="s">
        <v>166</v>
      </c>
      <c r="C133" s="10" t="s">
        <v>798</v>
      </c>
      <c r="D133" s="10" t="s">
        <v>923</v>
      </c>
      <c r="E133" s="10"/>
      <c r="F133" s="12"/>
      <c r="G133" s="12"/>
    </row>
    <row r="134" customFormat="false" ht="27.75" hidden="false" customHeight="true" outlineLevel="0" collapsed="false">
      <c r="A134" s="10"/>
      <c r="B134" s="14" t="s">
        <v>166</v>
      </c>
      <c r="C134" s="10" t="s">
        <v>798</v>
      </c>
      <c r="D134" s="10" t="s">
        <v>924</v>
      </c>
      <c r="E134" s="10"/>
      <c r="F134" s="12"/>
      <c r="G134" s="12"/>
    </row>
    <row r="135" customFormat="false" ht="27.75" hidden="false" customHeight="true" outlineLevel="0" collapsed="false">
      <c r="A135" s="10"/>
      <c r="B135" s="15" t="s">
        <v>178</v>
      </c>
      <c r="C135" s="10" t="s">
        <v>803</v>
      </c>
      <c r="D135" s="10" t="s">
        <v>925</v>
      </c>
      <c r="E135" s="10"/>
      <c r="F135" s="12"/>
      <c r="G135" s="12"/>
    </row>
    <row r="136" customFormat="false" ht="27.75" hidden="false" customHeight="true" outlineLevel="0" collapsed="false">
      <c r="A136" s="10"/>
      <c r="B136" s="15" t="s">
        <v>178</v>
      </c>
      <c r="C136" s="10" t="s">
        <v>803</v>
      </c>
      <c r="D136" s="10" t="s">
        <v>926</v>
      </c>
      <c r="E136" s="10"/>
      <c r="F136" s="12"/>
      <c r="G136" s="12"/>
    </row>
    <row r="137" customFormat="false" ht="27.75" hidden="false" customHeight="true" outlineLevel="0" collapsed="false">
      <c r="A137" s="10"/>
      <c r="B137" s="15" t="s">
        <v>178</v>
      </c>
      <c r="C137" s="10" t="s">
        <v>803</v>
      </c>
      <c r="D137" s="10" t="s">
        <v>927</v>
      </c>
      <c r="E137" s="10"/>
      <c r="F137" s="12"/>
      <c r="G137" s="12"/>
    </row>
    <row r="138" customFormat="false" ht="27.75" hidden="false" customHeight="true" outlineLevel="0" collapsed="false">
      <c r="A138" s="10"/>
      <c r="B138" s="13" t="s">
        <v>111</v>
      </c>
      <c r="C138" s="10" t="s">
        <v>790</v>
      </c>
      <c r="D138" s="10" t="s">
        <v>928</v>
      </c>
      <c r="E138" s="10"/>
      <c r="F138" s="12"/>
      <c r="G138" s="12"/>
    </row>
    <row r="139" customFormat="false" ht="27.75" hidden="false" customHeight="true" outlineLevel="0" collapsed="false">
      <c r="A139" s="16"/>
      <c r="B139" s="18" t="s">
        <v>111</v>
      </c>
      <c r="C139" s="16" t="s">
        <v>790</v>
      </c>
      <c r="D139" s="16" t="s">
        <v>929</v>
      </c>
      <c r="E139" s="16"/>
      <c r="F139" s="17"/>
      <c r="G139" s="17"/>
    </row>
  </sheetData>
  <dataValidations count="1">
    <dataValidation allowBlank="true" errorStyle="stop" operator="between" prompt="Vyber áno, nie alebo čiastočne. Pri „nie“ a „čiastočne“ napíš pripomienku." promptTitle="Súhlasíš?" showDropDown="false" showErrorMessage="false" showInputMessage="false" sqref="F3:F139" type="list">
      <formula1>"áno,nie,čiastočne"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4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46"/>
    <col collapsed="false" customWidth="true" hidden="false" outlineLevel="0" max="7" min="7" style="0" width="11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5" t="s">
        <v>930</v>
      </c>
    </row>
    <row r="2" customFormat="false" ht="31.5" hidden="false" customHeight="true" outlineLevel="0" collapsed="false">
      <c r="A2" s="9" t="s">
        <v>36</v>
      </c>
      <c r="B2" s="9" t="s">
        <v>931</v>
      </c>
      <c r="C2" s="9" t="s">
        <v>932</v>
      </c>
      <c r="D2" s="9" t="s">
        <v>933</v>
      </c>
      <c r="E2" s="9" t="s">
        <v>934</v>
      </c>
      <c r="F2" s="9" t="s">
        <v>935</v>
      </c>
      <c r="G2" s="9" t="s">
        <v>21</v>
      </c>
      <c r="H2" s="9" t="s">
        <v>23</v>
      </c>
    </row>
    <row r="3" customFormat="false" ht="27.75" hidden="false" customHeight="true" outlineLevel="0" collapsed="false">
      <c r="A3" s="10" t="s">
        <v>51</v>
      </c>
      <c r="B3" s="10" t="s">
        <v>936</v>
      </c>
      <c r="C3" s="10" t="s">
        <v>62</v>
      </c>
      <c r="D3" s="10" t="s">
        <v>937</v>
      </c>
      <c r="E3" s="10" t="s">
        <v>938</v>
      </c>
      <c r="F3" s="10"/>
      <c r="G3" s="12"/>
      <c r="H3" s="12"/>
    </row>
    <row r="4" customFormat="false" ht="27.75" hidden="false" customHeight="true" outlineLevel="0" collapsed="false">
      <c r="A4" s="10"/>
      <c r="B4" s="10" t="s">
        <v>939</v>
      </c>
      <c r="C4" s="10" t="s">
        <v>62</v>
      </c>
      <c r="D4" s="10" t="s">
        <v>940</v>
      </c>
      <c r="E4" s="10" t="s">
        <v>938</v>
      </c>
      <c r="F4" s="10"/>
      <c r="G4" s="12"/>
      <c r="H4" s="12"/>
    </row>
    <row r="5" customFormat="false" ht="27.75" hidden="false" customHeight="true" outlineLevel="0" collapsed="false">
      <c r="A5" s="10"/>
      <c r="B5" s="10" t="s">
        <v>941</v>
      </c>
      <c r="C5" s="10" t="s">
        <v>62</v>
      </c>
      <c r="D5" s="10" t="s">
        <v>942</v>
      </c>
      <c r="E5" s="10" t="s">
        <v>938</v>
      </c>
      <c r="F5" s="10"/>
      <c r="G5" s="12"/>
      <c r="H5" s="12"/>
    </row>
    <row r="6" customFormat="false" ht="27.75" hidden="false" customHeight="true" outlineLevel="0" collapsed="false">
      <c r="A6" s="10"/>
      <c r="B6" s="10" t="s">
        <v>943</v>
      </c>
      <c r="C6" s="10" t="s">
        <v>62</v>
      </c>
      <c r="D6" s="10" t="s">
        <v>944</v>
      </c>
      <c r="E6" s="10" t="s">
        <v>938</v>
      </c>
      <c r="F6" s="10"/>
      <c r="G6" s="12"/>
      <c r="H6" s="12"/>
    </row>
    <row r="7" customFormat="false" ht="27.75" hidden="false" customHeight="true" outlineLevel="0" collapsed="false">
      <c r="A7" s="10"/>
      <c r="B7" s="10" t="s">
        <v>945</v>
      </c>
      <c r="C7" s="10" t="s">
        <v>62</v>
      </c>
      <c r="D7" s="10" t="s">
        <v>946</v>
      </c>
      <c r="E7" s="10" t="s">
        <v>938</v>
      </c>
      <c r="F7" s="10"/>
      <c r="G7" s="12"/>
      <c r="H7" s="12"/>
    </row>
    <row r="8" customFormat="false" ht="27.75" hidden="false" customHeight="true" outlineLevel="0" collapsed="false">
      <c r="A8" s="10"/>
      <c r="B8" s="10" t="s">
        <v>947</v>
      </c>
      <c r="C8" s="10" t="s">
        <v>948</v>
      </c>
      <c r="D8" s="10" t="s">
        <v>949</v>
      </c>
      <c r="E8" s="10" t="s">
        <v>938</v>
      </c>
      <c r="F8" s="10"/>
      <c r="G8" s="12"/>
      <c r="H8" s="12"/>
    </row>
    <row r="9" customFormat="false" ht="27.75" hidden="false" customHeight="true" outlineLevel="0" collapsed="false">
      <c r="A9" s="10"/>
      <c r="B9" s="10" t="s">
        <v>950</v>
      </c>
      <c r="C9" s="10" t="s">
        <v>951</v>
      </c>
      <c r="D9" s="10" t="s">
        <v>952</v>
      </c>
      <c r="E9" s="10" t="s">
        <v>938</v>
      </c>
      <c r="F9" s="10"/>
      <c r="G9" s="12"/>
      <c r="H9" s="12"/>
    </row>
    <row r="10" customFormat="false" ht="27.75" hidden="false" customHeight="true" outlineLevel="0" collapsed="false">
      <c r="A10" s="10"/>
      <c r="B10" s="10" t="s">
        <v>953</v>
      </c>
      <c r="C10" s="10" t="s">
        <v>954</v>
      </c>
      <c r="D10" s="10" t="s">
        <v>955</v>
      </c>
      <c r="E10" s="10" t="s">
        <v>938</v>
      </c>
      <c r="F10" s="10"/>
      <c r="G10" s="12"/>
      <c r="H10" s="12"/>
    </row>
    <row r="11" customFormat="false" ht="42" hidden="false" customHeight="true" outlineLevel="0" collapsed="false">
      <c r="A11" s="16"/>
      <c r="B11" s="16" t="s">
        <v>956</v>
      </c>
      <c r="C11" s="16" t="s">
        <v>62</v>
      </c>
      <c r="D11" s="16" t="s">
        <v>957</v>
      </c>
      <c r="E11" s="20" t="s">
        <v>958</v>
      </c>
      <c r="F11" s="16" t="s">
        <v>959</v>
      </c>
      <c r="G11" s="17"/>
      <c r="H11" s="17"/>
    </row>
    <row r="12" customFormat="false" ht="27.75" hidden="false" customHeight="true" outlineLevel="0" collapsed="false">
      <c r="A12" s="10" t="s">
        <v>140</v>
      </c>
      <c r="B12" s="10" t="s">
        <v>936</v>
      </c>
      <c r="C12" s="10" t="s">
        <v>62</v>
      </c>
      <c r="D12" s="10" t="s">
        <v>937</v>
      </c>
      <c r="E12" s="10" t="s">
        <v>938</v>
      </c>
      <c r="F12" s="10"/>
      <c r="G12" s="12"/>
      <c r="H12" s="12"/>
    </row>
    <row r="13" customFormat="false" ht="27.75" hidden="false" customHeight="true" outlineLevel="0" collapsed="false">
      <c r="A13" s="10"/>
      <c r="B13" s="10" t="s">
        <v>960</v>
      </c>
      <c r="C13" s="10" t="s">
        <v>961</v>
      </c>
      <c r="D13" s="10" t="s">
        <v>962</v>
      </c>
      <c r="E13" s="10" t="s">
        <v>938</v>
      </c>
      <c r="F13" s="10"/>
      <c r="G13" s="12"/>
      <c r="H13" s="12"/>
    </row>
    <row r="14" customFormat="false" ht="27.75" hidden="false" customHeight="true" outlineLevel="0" collapsed="false">
      <c r="A14" s="10"/>
      <c r="B14" s="10" t="s">
        <v>963</v>
      </c>
      <c r="C14" s="10" t="s">
        <v>62</v>
      </c>
      <c r="D14" s="10" t="s">
        <v>964</v>
      </c>
      <c r="E14" s="10" t="s">
        <v>938</v>
      </c>
      <c r="F14" s="10"/>
      <c r="G14" s="12"/>
      <c r="H14" s="12"/>
    </row>
    <row r="15" customFormat="false" ht="27.75" hidden="false" customHeight="true" outlineLevel="0" collapsed="false">
      <c r="A15" s="10"/>
      <c r="B15" s="10" t="s">
        <v>965</v>
      </c>
      <c r="C15" s="10" t="s">
        <v>966</v>
      </c>
      <c r="D15" s="10" t="s">
        <v>344</v>
      </c>
      <c r="E15" s="10" t="s">
        <v>938</v>
      </c>
      <c r="F15" s="10"/>
      <c r="G15" s="12"/>
      <c r="H15" s="12"/>
    </row>
    <row r="16" customFormat="false" ht="27.75" hidden="false" customHeight="true" outlineLevel="0" collapsed="false">
      <c r="A16" s="10"/>
      <c r="B16" s="10" t="s">
        <v>967</v>
      </c>
      <c r="C16" s="10" t="s">
        <v>968</v>
      </c>
      <c r="D16" s="10" t="s">
        <v>969</v>
      </c>
      <c r="E16" s="10" t="s">
        <v>938</v>
      </c>
      <c r="F16" s="10"/>
      <c r="G16" s="12"/>
      <c r="H16" s="12"/>
    </row>
    <row r="17" customFormat="false" ht="27.75" hidden="false" customHeight="true" outlineLevel="0" collapsed="false">
      <c r="A17" s="10"/>
      <c r="B17" s="10" t="s">
        <v>950</v>
      </c>
      <c r="C17" s="10" t="s">
        <v>951</v>
      </c>
      <c r="D17" s="10" t="s">
        <v>952</v>
      </c>
      <c r="E17" s="10" t="s">
        <v>938</v>
      </c>
      <c r="F17" s="10"/>
      <c r="G17" s="12"/>
      <c r="H17" s="12"/>
    </row>
    <row r="18" customFormat="false" ht="27.75" hidden="false" customHeight="true" outlineLevel="0" collapsed="false">
      <c r="A18" s="10"/>
      <c r="B18" s="10" t="s">
        <v>970</v>
      </c>
      <c r="C18" s="10" t="s">
        <v>971</v>
      </c>
      <c r="D18" s="10" t="s">
        <v>972</v>
      </c>
      <c r="E18" s="10" t="s">
        <v>938</v>
      </c>
      <c r="F18" s="10"/>
      <c r="G18" s="12"/>
      <c r="H18" s="12"/>
    </row>
    <row r="19" customFormat="false" ht="27.75" hidden="false" customHeight="true" outlineLevel="0" collapsed="false">
      <c r="A19" s="10"/>
      <c r="B19" s="10" t="s">
        <v>973</v>
      </c>
      <c r="C19" s="10" t="s">
        <v>974</v>
      </c>
      <c r="D19" s="10" t="s">
        <v>975</v>
      </c>
      <c r="E19" s="10" t="s">
        <v>938</v>
      </c>
      <c r="F19" s="10"/>
      <c r="G19" s="12"/>
      <c r="H19" s="12"/>
    </row>
    <row r="20" customFormat="false" ht="42" hidden="false" customHeight="true" outlineLevel="0" collapsed="false">
      <c r="A20" s="16"/>
      <c r="B20" s="16" t="s">
        <v>976</v>
      </c>
      <c r="C20" s="16" t="s">
        <v>977</v>
      </c>
      <c r="D20" s="16" t="s">
        <v>978</v>
      </c>
      <c r="E20" s="20" t="s">
        <v>958</v>
      </c>
      <c r="F20" s="16" t="s">
        <v>979</v>
      </c>
      <c r="G20" s="17"/>
      <c r="H20" s="17"/>
    </row>
    <row r="21" customFormat="false" ht="27.75" hidden="false" customHeight="true" outlineLevel="0" collapsed="false">
      <c r="A21" s="10" t="s">
        <v>221</v>
      </c>
      <c r="B21" s="10" t="s">
        <v>936</v>
      </c>
      <c r="C21" s="10" t="s">
        <v>62</v>
      </c>
      <c r="D21" s="10" t="s">
        <v>937</v>
      </c>
      <c r="E21" s="10" t="s">
        <v>938</v>
      </c>
      <c r="F21" s="10"/>
      <c r="G21" s="12"/>
      <c r="H21" s="12"/>
    </row>
    <row r="22" customFormat="false" ht="27.75" hidden="false" customHeight="true" outlineLevel="0" collapsed="false">
      <c r="A22" s="10"/>
      <c r="B22" s="10" t="s">
        <v>980</v>
      </c>
      <c r="C22" s="10" t="s">
        <v>981</v>
      </c>
      <c r="D22" s="10" t="s">
        <v>982</v>
      </c>
      <c r="E22" s="10" t="s">
        <v>938</v>
      </c>
      <c r="F22" s="10"/>
      <c r="G22" s="12"/>
      <c r="H22" s="12"/>
    </row>
    <row r="23" customFormat="false" ht="27.75" hidden="false" customHeight="true" outlineLevel="0" collapsed="false">
      <c r="A23" s="10"/>
      <c r="B23" s="10" t="s">
        <v>983</v>
      </c>
      <c r="C23" s="10" t="s">
        <v>984</v>
      </c>
      <c r="D23" s="10" t="s">
        <v>344</v>
      </c>
      <c r="E23" s="10" t="s">
        <v>938</v>
      </c>
      <c r="F23" s="10"/>
      <c r="G23" s="12"/>
      <c r="H23" s="12"/>
    </row>
    <row r="24" customFormat="false" ht="27.75" hidden="false" customHeight="true" outlineLevel="0" collapsed="false">
      <c r="A24" s="10"/>
      <c r="B24" s="10" t="s">
        <v>985</v>
      </c>
      <c r="C24" s="10" t="s">
        <v>986</v>
      </c>
      <c r="D24" s="10" t="s">
        <v>987</v>
      </c>
      <c r="E24" s="10" t="s">
        <v>938</v>
      </c>
      <c r="F24" s="10"/>
      <c r="G24" s="12"/>
      <c r="H24" s="12"/>
    </row>
    <row r="25" customFormat="false" ht="27.75" hidden="false" customHeight="true" outlineLevel="0" collapsed="false">
      <c r="A25" s="10"/>
      <c r="B25" s="10" t="s">
        <v>988</v>
      </c>
      <c r="C25" s="10" t="s">
        <v>989</v>
      </c>
      <c r="D25" s="10" t="s">
        <v>344</v>
      </c>
      <c r="E25" s="10" t="s">
        <v>938</v>
      </c>
      <c r="F25" s="10"/>
      <c r="G25" s="12"/>
      <c r="H25" s="12"/>
    </row>
    <row r="26" customFormat="false" ht="27.75" hidden="false" customHeight="true" outlineLevel="0" collapsed="false">
      <c r="A26" s="10"/>
      <c r="B26" s="10" t="s">
        <v>990</v>
      </c>
      <c r="C26" s="10" t="s">
        <v>991</v>
      </c>
      <c r="D26" s="10" t="s">
        <v>992</v>
      </c>
      <c r="E26" s="10" t="s">
        <v>938</v>
      </c>
      <c r="F26" s="10"/>
      <c r="G26" s="12"/>
      <c r="H26" s="12"/>
    </row>
    <row r="27" customFormat="false" ht="27.75" hidden="false" customHeight="true" outlineLevel="0" collapsed="false">
      <c r="A27" s="10"/>
      <c r="B27" s="10" t="s">
        <v>993</v>
      </c>
      <c r="C27" s="10" t="s">
        <v>62</v>
      </c>
      <c r="D27" s="10" t="s">
        <v>975</v>
      </c>
      <c r="E27" s="10" t="s">
        <v>938</v>
      </c>
      <c r="F27" s="10"/>
      <c r="G27" s="12"/>
      <c r="H27" s="12"/>
    </row>
    <row r="28" customFormat="false" ht="42" hidden="false" customHeight="true" outlineLevel="0" collapsed="false">
      <c r="A28" s="16"/>
      <c r="B28" s="16" t="s">
        <v>994</v>
      </c>
      <c r="C28" s="16" t="s">
        <v>62</v>
      </c>
      <c r="D28" s="16" t="s">
        <v>995</v>
      </c>
      <c r="E28" s="20" t="s">
        <v>958</v>
      </c>
      <c r="F28" s="16" t="s">
        <v>996</v>
      </c>
      <c r="G28" s="17"/>
      <c r="H28" s="17"/>
    </row>
    <row r="29" customFormat="false" ht="27.75" hidden="false" customHeight="true" outlineLevel="0" collapsed="false">
      <c r="A29" s="10" t="s">
        <v>43</v>
      </c>
      <c r="B29" s="10" t="s">
        <v>997</v>
      </c>
      <c r="C29" s="10" t="s">
        <v>998</v>
      </c>
      <c r="D29" s="10" t="s">
        <v>999</v>
      </c>
      <c r="E29" s="10" t="s">
        <v>938</v>
      </c>
      <c r="F29" s="10"/>
      <c r="G29" s="12"/>
      <c r="H29" s="12"/>
    </row>
    <row r="30" customFormat="false" ht="27.75" hidden="false" customHeight="true" outlineLevel="0" collapsed="false">
      <c r="A30" s="10"/>
      <c r="B30" s="10" t="s">
        <v>1000</v>
      </c>
      <c r="C30" s="10" t="s">
        <v>1001</v>
      </c>
      <c r="D30" s="10" t="s">
        <v>1002</v>
      </c>
      <c r="E30" s="10" t="s">
        <v>938</v>
      </c>
      <c r="F30" s="10"/>
      <c r="G30" s="12"/>
      <c r="H30" s="12"/>
    </row>
    <row r="31" customFormat="false" ht="27.75" hidden="false" customHeight="true" outlineLevel="0" collapsed="false">
      <c r="A31" s="10"/>
      <c r="B31" s="10" t="s">
        <v>936</v>
      </c>
      <c r="C31" s="10" t="s">
        <v>62</v>
      </c>
      <c r="D31" s="10" t="s">
        <v>937</v>
      </c>
      <c r="E31" s="10" t="s">
        <v>938</v>
      </c>
      <c r="F31" s="10"/>
      <c r="G31" s="12"/>
      <c r="H31" s="12"/>
    </row>
    <row r="32" customFormat="false" ht="27.75" hidden="false" customHeight="true" outlineLevel="0" collapsed="false">
      <c r="A32" s="10"/>
      <c r="B32" s="10" t="s">
        <v>1003</v>
      </c>
      <c r="C32" s="10" t="s">
        <v>1004</v>
      </c>
      <c r="D32" s="10" t="s">
        <v>344</v>
      </c>
      <c r="E32" s="10" t="s">
        <v>938</v>
      </c>
      <c r="F32" s="10"/>
      <c r="G32" s="12"/>
      <c r="H32" s="12"/>
    </row>
    <row r="33" customFormat="false" ht="27.75" hidden="false" customHeight="true" outlineLevel="0" collapsed="false">
      <c r="A33" s="10"/>
      <c r="B33" s="10" t="s">
        <v>1005</v>
      </c>
      <c r="C33" s="10" t="s">
        <v>62</v>
      </c>
      <c r="D33" s="10" t="s">
        <v>964</v>
      </c>
      <c r="E33" s="10" t="s">
        <v>938</v>
      </c>
      <c r="F33" s="10"/>
      <c r="G33" s="12"/>
      <c r="H33" s="12"/>
    </row>
    <row r="34" customFormat="false" ht="27.75" hidden="false" customHeight="true" outlineLevel="0" collapsed="false">
      <c r="A34" s="10"/>
      <c r="B34" s="10" t="s">
        <v>1006</v>
      </c>
      <c r="C34" s="10" t="s">
        <v>1007</v>
      </c>
      <c r="D34" s="10" t="s">
        <v>344</v>
      </c>
      <c r="E34" s="10" t="s">
        <v>938</v>
      </c>
      <c r="F34" s="10"/>
      <c r="G34" s="12"/>
      <c r="H34" s="12"/>
    </row>
    <row r="35" customFormat="false" ht="42" hidden="false" customHeight="true" outlineLevel="0" collapsed="false">
      <c r="A35" s="16"/>
      <c r="B35" s="16" t="s">
        <v>1008</v>
      </c>
      <c r="C35" s="16" t="s">
        <v>62</v>
      </c>
      <c r="D35" s="16" t="s">
        <v>978</v>
      </c>
      <c r="E35" s="20" t="s">
        <v>958</v>
      </c>
      <c r="F35" s="16" t="s">
        <v>1009</v>
      </c>
      <c r="G35" s="17"/>
      <c r="H35" s="17"/>
    </row>
    <row r="36" customFormat="false" ht="27.75" hidden="false" customHeight="true" outlineLevel="0" collapsed="false">
      <c r="A36" s="10" t="s">
        <v>286</v>
      </c>
      <c r="B36" s="10" t="s">
        <v>1010</v>
      </c>
      <c r="C36" s="10" t="s">
        <v>62</v>
      </c>
      <c r="D36" s="10" t="s">
        <v>1011</v>
      </c>
      <c r="E36" s="10" t="s">
        <v>938</v>
      </c>
      <c r="F36" s="10"/>
      <c r="G36" s="12"/>
      <c r="H36" s="12"/>
    </row>
    <row r="37" customFormat="false" ht="27.75" hidden="false" customHeight="true" outlineLevel="0" collapsed="false">
      <c r="A37" s="10"/>
      <c r="B37" s="10" t="s">
        <v>936</v>
      </c>
      <c r="C37" s="10" t="s">
        <v>62</v>
      </c>
      <c r="D37" s="10" t="s">
        <v>937</v>
      </c>
      <c r="E37" s="10" t="s">
        <v>938</v>
      </c>
      <c r="F37" s="10"/>
      <c r="G37" s="12"/>
      <c r="H37" s="12"/>
    </row>
    <row r="38" customFormat="false" ht="27.75" hidden="false" customHeight="true" outlineLevel="0" collapsed="false">
      <c r="A38" s="10"/>
      <c r="B38" s="10" t="s">
        <v>1012</v>
      </c>
      <c r="C38" s="10" t="s">
        <v>1013</v>
      </c>
      <c r="D38" s="10" t="s">
        <v>344</v>
      </c>
      <c r="E38" s="10" t="s">
        <v>938</v>
      </c>
      <c r="F38" s="10"/>
      <c r="G38" s="12"/>
      <c r="H38" s="12"/>
    </row>
    <row r="39" customFormat="false" ht="27.75" hidden="false" customHeight="true" outlineLevel="0" collapsed="false">
      <c r="A39" s="10"/>
      <c r="B39" s="10" t="s">
        <v>1014</v>
      </c>
      <c r="C39" s="10" t="s">
        <v>1015</v>
      </c>
      <c r="D39" s="10" t="s">
        <v>1016</v>
      </c>
      <c r="E39" s="10" t="s">
        <v>938</v>
      </c>
      <c r="F39" s="10"/>
      <c r="G39" s="12"/>
      <c r="H39" s="12"/>
    </row>
    <row r="40" customFormat="false" ht="27.75" hidden="false" customHeight="true" outlineLevel="0" collapsed="false">
      <c r="A40" s="10"/>
      <c r="B40" s="10" t="s">
        <v>1017</v>
      </c>
      <c r="C40" s="10" t="s">
        <v>1018</v>
      </c>
      <c r="D40" s="10" t="s">
        <v>1016</v>
      </c>
      <c r="E40" s="10" t="s">
        <v>938</v>
      </c>
      <c r="F40" s="10"/>
      <c r="G40" s="12"/>
      <c r="H40" s="12"/>
    </row>
    <row r="41" customFormat="false" ht="27.75" hidden="false" customHeight="true" outlineLevel="0" collapsed="false">
      <c r="A41" s="10"/>
      <c r="B41" s="10" t="s">
        <v>1019</v>
      </c>
      <c r="C41" s="10" t="s">
        <v>1020</v>
      </c>
      <c r="D41" s="10" t="s">
        <v>344</v>
      </c>
      <c r="E41" s="10" t="s">
        <v>938</v>
      </c>
      <c r="F41" s="10"/>
      <c r="G41" s="12"/>
      <c r="H41" s="12"/>
    </row>
    <row r="42" customFormat="false" ht="27.75" hidden="false" customHeight="true" outlineLevel="0" collapsed="false">
      <c r="A42" s="10"/>
      <c r="B42" s="10" t="s">
        <v>1021</v>
      </c>
      <c r="C42" s="10" t="s">
        <v>62</v>
      </c>
      <c r="D42" s="10" t="s">
        <v>975</v>
      </c>
      <c r="E42" s="10" t="s">
        <v>938</v>
      </c>
      <c r="F42" s="10"/>
      <c r="G42" s="12"/>
      <c r="H42" s="12"/>
    </row>
    <row r="43" customFormat="false" ht="27.75" hidden="false" customHeight="true" outlineLevel="0" collapsed="false">
      <c r="A43" s="10"/>
      <c r="B43" s="10" t="s">
        <v>947</v>
      </c>
      <c r="C43" s="10" t="s">
        <v>948</v>
      </c>
      <c r="D43" s="10" t="s">
        <v>949</v>
      </c>
      <c r="E43" s="10" t="s">
        <v>938</v>
      </c>
      <c r="F43" s="10"/>
      <c r="G43" s="12"/>
      <c r="H43" s="12"/>
    </row>
    <row r="44" customFormat="false" ht="42" hidden="false" customHeight="true" outlineLevel="0" collapsed="false">
      <c r="A44" s="16"/>
      <c r="B44" s="16" t="s">
        <v>1022</v>
      </c>
      <c r="C44" s="16" t="s">
        <v>62</v>
      </c>
      <c r="D44" s="16" t="s">
        <v>978</v>
      </c>
      <c r="E44" s="20" t="s">
        <v>958</v>
      </c>
      <c r="F44" s="16" t="s">
        <v>1023</v>
      </c>
      <c r="G44" s="17"/>
      <c r="H44" s="17"/>
    </row>
    <row r="45" customFormat="false" ht="27.75" hidden="false" customHeight="true" outlineLevel="0" collapsed="false">
      <c r="A45" s="10" t="s">
        <v>338</v>
      </c>
      <c r="B45" s="10" t="s">
        <v>1010</v>
      </c>
      <c r="C45" s="10" t="s">
        <v>62</v>
      </c>
      <c r="D45" s="10" t="s">
        <v>1011</v>
      </c>
      <c r="E45" s="10" t="s">
        <v>938</v>
      </c>
      <c r="F45" s="10"/>
      <c r="G45" s="12"/>
      <c r="H45" s="12"/>
    </row>
    <row r="46" customFormat="false" ht="27.75" hidden="false" customHeight="true" outlineLevel="0" collapsed="false">
      <c r="A46" s="10"/>
      <c r="B46" s="10" t="s">
        <v>936</v>
      </c>
      <c r="C46" s="10" t="s">
        <v>62</v>
      </c>
      <c r="D46" s="10" t="s">
        <v>937</v>
      </c>
      <c r="E46" s="10" t="s">
        <v>938</v>
      </c>
      <c r="F46" s="10"/>
      <c r="G46" s="12"/>
      <c r="H46" s="12"/>
    </row>
    <row r="47" customFormat="false" ht="27.75" hidden="false" customHeight="true" outlineLevel="0" collapsed="false">
      <c r="A47" s="10"/>
      <c r="B47" s="10" t="s">
        <v>1005</v>
      </c>
      <c r="C47" s="10" t="s">
        <v>62</v>
      </c>
      <c r="D47" s="10" t="s">
        <v>964</v>
      </c>
      <c r="E47" s="10" t="s">
        <v>938</v>
      </c>
      <c r="F47" s="10"/>
      <c r="G47" s="12"/>
      <c r="H47" s="12"/>
    </row>
    <row r="48" customFormat="false" ht="27.75" hidden="false" customHeight="true" outlineLevel="0" collapsed="false">
      <c r="A48" s="10"/>
      <c r="B48" s="10" t="s">
        <v>1024</v>
      </c>
      <c r="C48" s="10" t="s">
        <v>1025</v>
      </c>
      <c r="D48" s="10" t="s">
        <v>964</v>
      </c>
      <c r="E48" s="10" t="s">
        <v>938</v>
      </c>
      <c r="F48" s="10"/>
      <c r="G48" s="12"/>
      <c r="H48" s="12"/>
    </row>
    <row r="49" customFormat="false" ht="27.75" hidden="false" customHeight="true" outlineLevel="0" collapsed="false">
      <c r="A49" s="10"/>
      <c r="B49" s="10" t="s">
        <v>1026</v>
      </c>
      <c r="C49" s="10" t="s">
        <v>1027</v>
      </c>
      <c r="D49" s="10" t="s">
        <v>344</v>
      </c>
      <c r="E49" s="10" t="s">
        <v>938</v>
      </c>
      <c r="F49" s="10"/>
      <c r="G49" s="12"/>
      <c r="H49" s="12"/>
    </row>
    <row r="50" customFormat="false" ht="27.75" hidden="false" customHeight="true" outlineLevel="0" collapsed="false">
      <c r="A50" s="10"/>
      <c r="B50" s="10" t="s">
        <v>967</v>
      </c>
      <c r="C50" s="10" t="s">
        <v>968</v>
      </c>
      <c r="D50" s="10" t="s">
        <v>969</v>
      </c>
      <c r="E50" s="10" t="s">
        <v>938</v>
      </c>
      <c r="F50" s="10"/>
      <c r="G50" s="12"/>
      <c r="H50" s="12"/>
    </row>
    <row r="51" customFormat="false" ht="27.75" hidden="false" customHeight="true" outlineLevel="0" collapsed="false">
      <c r="A51" s="10"/>
      <c r="B51" s="10" t="s">
        <v>1028</v>
      </c>
      <c r="C51" s="10" t="s">
        <v>1029</v>
      </c>
      <c r="D51" s="10" t="s">
        <v>975</v>
      </c>
      <c r="E51" s="10" t="s">
        <v>938</v>
      </c>
      <c r="F51" s="10"/>
      <c r="G51" s="12"/>
      <c r="H51" s="12"/>
    </row>
    <row r="52" customFormat="false" ht="27.75" hidden="false" customHeight="true" outlineLevel="0" collapsed="false">
      <c r="A52" s="10"/>
      <c r="B52" s="10" t="s">
        <v>1030</v>
      </c>
      <c r="C52" s="10" t="s">
        <v>1031</v>
      </c>
      <c r="D52" s="10" t="s">
        <v>344</v>
      </c>
      <c r="E52" s="10" t="s">
        <v>938</v>
      </c>
      <c r="F52" s="10"/>
      <c r="G52" s="12"/>
      <c r="H52" s="12"/>
    </row>
    <row r="53" customFormat="false" ht="27.75" hidden="false" customHeight="true" outlineLevel="0" collapsed="false">
      <c r="A53" s="10"/>
      <c r="B53" s="10" t="s">
        <v>950</v>
      </c>
      <c r="C53" s="10" t="s">
        <v>951</v>
      </c>
      <c r="D53" s="10" t="s">
        <v>952</v>
      </c>
      <c r="E53" s="10" t="s">
        <v>938</v>
      </c>
      <c r="F53" s="10"/>
      <c r="G53" s="12"/>
      <c r="H53" s="12"/>
    </row>
    <row r="54" customFormat="false" ht="42" hidden="false" customHeight="true" outlineLevel="0" collapsed="false">
      <c r="A54" s="10"/>
      <c r="B54" s="10" t="s">
        <v>1032</v>
      </c>
      <c r="C54" s="10" t="s">
        <v>1033</v>
      </c>
      <c r="D54" s="10" t="s">
        <v>1034</v>
      </c>
      <c r="E54" s="19" t="s">
        <v>958</v>
      </c>
      <c r="F54" s="10" t="s">
        <v>1035</v>
      </c>
      <c r="G54" s="12"/>
      <c r="H54" s="12"/>
    </row>
    <row r="55" customFormat="false" ht="42" hidden="false" customHeight="true" outlineLevel="0" collapsed="false">
      <c r="A55" s="16"/>
      <c r="B55" s="16" t="s">
        <v>1036</v>
      </c>
      <c r="C55" s="16" t="s">
        <v>62</v>
      </c>
      <c r="D55" s="16" t="s">
        <v>995</v>
      </c>
      <c r="E55" s="20" t="s">
        <v>958</v>
      </c>
      <c r="F55" s="16" t="s">
        <v>1037</v>
      </c>
      <c r="G55" s="17"/>
      <c r="H55" s="17"/>
    </row>
    <row r="56" customFormat="false" ht="27.75" hidden="false" customHeight="true" outlineLevel="0" collapsed="false">
      <c r="A56" s="10" t="s">
        <v>405</v>
      </c>
      <c r="B56" s="10" t="s">
        <v>936</v>
      </c>
      <c r="C56" s="10" t="s">
        <v>62</v>
      </c>
      <c r="D56" s="10" t="s">
        <v>937</v>
      </c>
      <c r="E56" s="10" t="s">
        <v>938</v>
      </c>
      <c r="F56" s="10"/>
      <c r="G56" s="12"/>
      <c r="H56" s="12"/>
    </row>
    <row r="57" customFormat="false" ht="27.75" hidden="false" customHeight="true" outlineLevel="0" collapsed="false">
      <c r="A57" s="10"/>
      <c r="B57" s="10" t="s">
        <v>1038</v>
      </c>
      <c r="C57" s="10" t="s">
        <v>1039</v>
      </c>
      <c r="D57" s="10" t="s">
        <v>975</v>
      </c>
      <c r="E57" s="10" t="s">
        <v>938</v>
      </c>
      <c r="F57" s="10"/>
      <c r="G57" s="12"/>
      <c r="H57" s="12"/>
    </row>
    <row r="58" customFormat="false" ht="27.75" hidden="false" customHeight="true" outlineLevel="0" collapsed="false">
      <c r="A58" s="10"/>
      <c r="B58" s="10" t="s">
        <v>1003</v>
      </c>
      <c r="C58" s="10" t="s">
        <v>1004</v>
      </c>
      <c r="D58" s="10" t="s">
        <v>344</v>
      </c>
      <c r="E58" s="10" t="s">
        <v>938</v>
      </c>
      <c r="F58" s="10"/>
      <c r="G58" s="12"/>
      <c r="H58" s="12"/>
    </row>
    <row r="59" customFormat="false" ht="27.75" hidden="false" customHeight="true" outlineLevel="0" collapsed="false">
      <c r="A59" s="10"/>
      <c r="B59" s="10" t="s">
        <v>1040</v>
      </c>
      <c r="C59" s="10" t="s">
        <v>1041</v>
      </c>
      <c r="D59" s="10" t="s">
        <v>1042</v>
      </c>
      <c r="E59" s="10" t="s">
        <v>938</v>
      </c>
      <c r="F59" s="10"/>
      <c r="G59" s="12"/>
      <c r="H59" s="12"/>
    </row>
    <row r="60" customFormat="false" ht="27.75" hidden="false" customHeight="true" outlineLevel="0" collapsed="false">
      <c r="A60" s="10"/>
      <c r="B60" s="10" t="s">
        <v>1043</v>
      </c>
      <c r="C60" s="10" t="s">
        <v>62</v>
      </c>
      <c r="D60" s="10" t="s">
        <v>1044</v>
      </c>
      <c r="E60" s="10" t="s">
        <v>938</v>
      </c>
      <c r="F60" s="10"/>
      <c r="G60" s="12"/>
      <c r="H60" s="12"/>
    </row>
    <row r="61" customFormat="false" ht="27.75" hidden="false" customHeight="true" outlineLevel="0" collapsed="false">
      <c r="A61" s="10"/>
      <c r="B61" s="10" t="s">
        <v>990</v>
      </c>
      <c r="C61" s="10" t="s">
        <v>991</v>
      </c>
      <c r="D61" s="10" t="s">
        <v>992</v>
      </c>
      <c r="E61" s="10" t="s">
        <v>938</v>
      </c>
      <c r="F61" s="10"/>
      <c r="G61" s="12"/>
      <c r="H61" s="12"/>
    </row>
    <row r="62" customFormat="false" ht="27.75" hidden="false" customHeight="true" outlineLevel="0" collapsed="false">
      <c r="A62" s="10"/>
      <c r="B62" s="10" t="s">
        <v>1045</v>
      </c>
      <c r="C62" s="10" t="s">
        <v>1046</v>
      </c>
      <c r="D62" s="10" t="s">
        <v>1047</v>
      </c>
      <c r="E62" s="10" t="s">
        <v>938</v>
      </c>
      <c r="F62" s="10"/>
      <c r="G62" s="12"/>
      <c r="H62" s="12"/>
    </row>
    <row r="63" customFormat="false" ht="27.75" hidden="false" customHeight="true" outlineLevel="0" collapsed="false">
      <c r="A63" s="10"/>
      <c r="B63" s="10" t="s">
        <v>950</v>
      </c>
      <c r="C63" s="10" t="s">
        <v>951</v>
      </c>
      <c r="D63" s="10" t="s">
        <v>952</v>
      </c>
      <c r="E63" s="10" t="s">
        <v>938</v>
      </c>
      <c r="F63" s="10"/>
      <c r="G63" s="12"/>
      <c r="H63" s="12"/>
    </row>
    <row r="64" customFormat="false" ht="42" hidden="false" customHeight="true" outlineLevel="0" collapsed="false">
      <c r="A64" s="16"/>
      <c r="B64" s="16" t="s">
        <v>1048</v>
      </c>
      <c r="C64" s="16" t="s">
        <v>62</v>
      </c>
      <c r="D64" s="16" t="s">
        <v>995</v>
      </c>
      <c r="E64" s="20" t="s">
        <v>958</v>
      </c>
      <c r="F64" s="16" t="s">
        <v>1049</v>
      </c>
      <c r="G64" s="17"/>
      <c r="H64" s="17"/>
    </row>
    <row r="65" customFormat="false" ht="27.75" hidden="false" customHeight="true" outlineLevel="0" collapsed="false">
      <c r="A65" s="10" t="s">
        <v>448</v>
      </c>
      <c r="B65" s="10" t="s">
        <v>1050</v>
      </c>
      <c r="C65" s="10" t="s">
        <v>1051</v>
      </c>
      <c r="D65" s="10" t="s">
        <v>1052</v>
      </c>
      <c r="E65" s="10" t="s">
        <v>938</v>
      </c>
      <c r="F65" s="10"/>
      <c r="G65" s="12"/>
      <c r="H65" s="12"/>
    </row>
    <row r="66" customFormat="false" ht="27.75" hidden="false" customHeight="true" outlineLevel="0" collapsed="false">
      <c r="A66" s="10"/>
      <c r="B66" s="10" t="s">
        <v>1053</v>
      </c>
      <c r="C66" s="10" t="s">
        <v>1054</v>
      </c>
      <c r="D66" s="10" t="s">
        <v>344</v>
      </c>
      <c r="E66" s="10" t="s">
        <v>938</v>
      </c>
      <c r="F66" s="10"/>
      <c r="G66" s="12"/>
      <c r="H66" s="12"/>
    </row>
    <row r="67" customFormat="false" ht="27.75" hidden="false" customHeight="true" outlineLevel="0" collapsed="false">
      <c r="A67" s="10"/>
      <c r="B67" s="10" t="s">
        <v>1055</v>
      </c>
      <c r="C67" s="10" t="s">
        <v>62</v>
      </c>
      <c r="D67" s="10" t="s">
        <v>344</v>
      </c>
      <c r="E67" s="10" t="s">
        <v>938</v>
      </c>
      <c r="F67" s="10"/>
      <c r="G67" s="12"/>
      <c r="H67" s="12"/>
    </row>
    <row r="68" customFormat="false" ht="27.75" hidden="false" customHeight="true" outlineLevel="0" collapsed="false">
      <c r="A68" s="10"/>
      <c r="B68" s="10" t="s">
        <v>953</v>
      </c>
      <c r="C68" s="10" t="s">
        <v>954</v>
      </c>
      <c r="D68" s="10" t="s">
        <v>955</v>
      </c>
      <c r="E68" s="10" t="s">
        <v>938</v>
      </c>
      <c r="F68" s="10"/>
      <c r="G68" s="12"/>
      <c r="H68" s="12"/>
    </row>
    <row r="69" customFormat="false" ht="27.75" hidden="false" customHeight="true" outlineLevel="0" collapsed="false">
      <c r="A69" s="10"/>
      <c r="B69" s="10" t="s">
        <v>1056</v>
      </c>
      <c r="C69" s="10" t="s">
        <v>1057</v>
      </c>
      <c r="D69" s="10" t="s">
        <v>1058</v>
      </c>
      <c r="E69" s="10" t="s">
        <v>938</v>
      </c>
      <c r="F69" s="10"/>
      <c r="G69" s="12"/>
      <c r="H69" s="12"/>
    </row>
    <row r="70" customFormat="false" ht="27.75" hidden="false" customHeight="true" outlineLevel="0" collapsed="false">
      <c r="A70" s="10"/>
      <c r="B70" s="10" t="s">
        <v>970</v>
      </c>
      <c r="C70" s="10" t="s">
        <v>971</v>
      </c>
      <c r="D70" s="10" t="s">
        <v>972</v>
      </c>
      <c r="E70" s="10" t="s">
        <v>938</v>
      </c>
      <c r="F70" s="10"/>
      <c r="G70" s="12"/>
      <c r="H70" s="12"/>
    </row>
    <row r="71" customFormat="false" ht="42" hidden="false" customHeight="true" outlineLevel="0" collapsed="false">
      <c r="A71" s="16"/>
      <c r="B71" s="16" t="s">
        <v>1059</v>
      </c>
      <c r="C71" s="16" t="s">
        <v>1060</v>
      </c>
      <c r="D71" s="16" t="s">
        <v>1034</v>
      </c>
      <c r="E71" s="20" t="s">
        <v>958</v>
      </c>
      <c r="F71" s="16" t="s">
        <v>1061</v>
      </c>
      <c r="G71" s="17"/>
      <c r="H71" s="17"/>
    </row>
    <row r="72" customFormat="false" ht="27.75" hidden="false" customHeight="true" outlineLevel="0" collapsed="false">
      <c r="A72" s="10" t="s">
        <v>470</v>
      </c>
      <c r="B72" s="10" t="s">
        <v>1062</v>
      </c>
      <c r="C72" s="10" t="s">
        <v>1063</v>
      </c>
      <c r="D72" s="10" t="s">
        <v>999</v>
      </c>
      <c r="E72" s="10" t="s">
        <v>938</v>
      </c>
      <c r="F72" s="10"/>
      <c r="G72" s="12"/>
      <c r="H72" s="12"/>
    </row>
    <row r="73" customFormat="false" ht="27.75" hidden="false" customHeight="true" outlineLevel="0" collapsed="false">
      <c r="A73" s="10"/>
      <c r="B73" s="10" t="s">
        <v>1064</v>
      </c>
      <c r="C73" s="10" t="s">
        <v>1065</v>
      </c>
      <c r="D73" s="10" t="s">
        <v>344</v>
      </c>
      <c r="E73" s="10" t="s">
        <v>938</v>
      </c>
      <c r="F73" s="10"/>
      <c r="G73" s="12"/>
      <c r="H73" s="12"/>
    </row>
    <row r="74" customFormat="false" ht="27.75" hidden="false" customHeight="true" outlineLevel="0" collapsed="false">
      <c r="A74" s="10"/>
      <c r="B74" s="10" t="s">
        <v>980</v>
      </c>
      <c r="C74" s="10" t="s">
        <v>981</v>
      </c>
      <c r="D74" s="10" t="s">
        <v>982</v>
      </c>
      <c r="E74" s="10" t="s">
        <v>938</v>
      </c>
      <c r="F74" s="10"/>
      <c r="G74" s="12"/>
      <c r="H74" s="12"/>
    </row>
    <row r="75" customFormat="false" ht="27.75" hidden="false" customHeight="true" outlineLevel="0" collapsed="false">
      <c r="A75" s="10"/>
      <c r="B75" s="10" t="s">
        <v>1066</v>
      </c>
      <c r="C75" s="10" t="s">
        <v>1067</v>
      </c>
      <c r="D75" s="10" t="s">
        <v>1058</v>
      </c>
      <c r="E75" s="10" t="s">
        <v>938</v>
      </c>
      <c r="F75" s="10"/>
      <c r="G75" s="12"/>
      <c r="H75" s="12"/>
    </row>
    <row r="76" customFormat="false" ht="27.75" hidden="false" customHeight="true" outlineLevel="0" collapsed="false">
      <c r="A76" s="10"/>
      <c r="B76" s="10" t="s">
        <v>967</v>
      </c>
      <c r="C76" s="10" t="s">
        <v>968</v>
      </c>
      <c r="D76" s="10" t="s">
        <v>969</v>
      </c>
      <c r="E76" s="10" t="s">
        <v>938</v>
      </c>
      <c r="F76" s="10"/>
      <c r="G76" s="12"/>
      <c r="H76" s="12"/>
    </row>
    <row r="77" customFormat="false" ht="42" hidden="false" customHeight="true" outlineLevel="0" collapsed="false">
      <c r="A77" s="16"/>
      <c r="B77" s="16" t="s">
        <v>1068</v>
      </c>
      <c r="C77" s="16" t="s">
        <v>62</v>
      </c>
      <c r="D77" s="16" t="s">
        <v>978</v>
      </c>
      <c r="E77" s="20" t="s">
        <v>958</v>
      </c>
      <c r="F77" s="16" t="s">
        <v>1069</v>
      </c>
      <c r="G77" s="17"/>
      <c r="H77" s="17"/>
    </row>
    <row r="78" customFormat="false" ht="27.75" hidden="false" customHeight="true" outlineLevel="0" collapsed="false">
      <c r="A78" s="10" t="s">
        <v>501</v>
      </c>
      <c r="B78" s="10" t="s">
        <v>963</v>
      </c>
      <c r="C78" s="10" t="s">
        <v>62</v>
      </c>
      <c r="D78" s="10" t="s">
        <v>964</v>
      </c>
      <c r="E78" s="10" t="s">
        <v>938</v>
      </c>
      <c r="F78" s="10"/>
      <c r="G78" s="12"/>
      <c r="H78" s="12"/>
    </row>
    <row r="79" customFormat="false" ht="27.75" hidden="false" customHeight="true" outlineLevel="0" collapsed="false">
      <c r="A79" s="10"/>
      <c r="B79" s="10" t="s">
        <v>1070</v>
      </c>
      <c r="C79" s="10" t="s">
        <v>1071</v>
      </c>
      <c r="D79" s="10" t="s">
        <v>1072</v>
      </c>
      <c r="E79" s="10" t="s">
        <v>938</v>
      </c>
      <c r="F79" s="10"/>
      <c r="G79" s="12"/>
      <c r="H79" s="12"/>
    </row>
    <row r="80" customFormat="false" ht="27.75" hidden="false" customHeight="true" outlineLevel="0" collapsed="false">
      <c r="A80" s="10"/>
      <c r="B80" s="10" t="s">
        <v>1073</v>
      </c>
      <c r="C80" s="10" t="s">
        <v>1074</v>
      </c>
      <c r="D80" s="10" t="s">
        <v>1016</v>
      </c>
      <c r="E80" s="10" t="s">
        <v>938</v>
      </c>
      <c r="F80" s="10"/>
      <c r="G80" s="12"/>
      <c r="H80" s="12"/>
    </row>
    <row r="81" customFormat="false" ht="27.75" hidden="false" customHeight="true" outlineLevel="0" collapsed="false">
      <c r="A81" s="10"/>
      <c r="B81" s="10" t="s">
        <v>1075</v>
      </c>
      <c r="C81" s="10" t="s">
        <v>1076</v>
      </c>
      <c r="D81" s="10" t="s">
        <v>344</v>
      </c>
      <c r="E81" s="10" t="s">
        <v>938</v>
      </c>
      <c r="F81" s="10"/>
      <c r="G81" s="12"/>
      <c r="H81" s="12"/>
    </row>
    <row r="82" customFormat="false" ht="27.75" hidden="false" customHeight="true" outlineLevel="0" collapsed="false">
      <c r="A82" s="10"/>
      <c r="B82" s="10" t="s">
        <v>953</v>
      </c>
      <c r="C82" s="10" t="s">
        <v>954</v>
      </c>
      <c r="D82" s="10" t="s">
        <v>955</v>
      </c>
      <c r="E82" s="10" t="s">
        <v>938</v>
      </c>
      <c r="F82" s="10"/>
      <c r="G82" s="12"/>
      <c r="H82" s="12"/>
    </row>
    <row r="83" customFormat="false" ht="42" hidden="false" customHeight="true" outlineLevel="0" collapsed="false">
      <c r="A83" s="16"/>
      <c r="B83" s="16" t="s">
        <v>1077</v>
      </c>
      <c r="C83" s="16" t="s">
        <v>1078</v>
      </c>
      <c r="D83" s="16" t="s">
        <v>978</v>
      </c>
      <c r="E83" s="20" t="s">
        <v>958</v>
      </c>
      <c r="F83" s="16" t="s">
        <v>1079</v>
      </c>
      <c r="G83" s="17"/>
      <c r="H83" s="17"/>
    </row>
    <row r="84" customFormat="false" ht="27.75" hidden="false" customHeight="true" outlineLevel="0" collapsed="false">
      <c r="A84" s="10" t="s">
        <v>512</v>
      </c>
      <c r="B84" s="10" t="s">
        <v>1080</v>
      </c>
      <c r="C84" s="10" t="s">
        <v>62</v>
      </c>
      <c r="D84" s="10" t="s">
        <v>1081</v>
      </c>
      <c r="E84" s="10" t="s">
        <v>938</v>
      </c>
      <c r="F84" s="10"/>
      <c r="G84" s="12"/>
      <c r="H84" s="12"/>
    </row>
    <row r="85" customFormat="false" ht="27.75" hidden="false" customHeight="true" outlineLevel="0" collapsed="false">
      <c r="A85" s="10"/>
      <c r="B85" s="10" t="s">
        <v>1082</v>
      </c>
      <c r="C85" s="10" t="s">
        <v>62</v>
      </c>
      <c r="D85" s="10" t="s">
        <v>942</v>
      </c>
      <c r="E85" s="10" t="s">
        <v>938</v>
      </c>
      <c r="F85" s="10"/>
      <c r="G85" s="12"/>
      <c r="H85" s="12"/>
    </row>
    <row r="86" customFormat="false" ht="27.75" hidden="false" customHeight="true" outlineLevel="0" collapsed="false">
      <c r="A86" s="10"/>
      <c r="B86" s="10" t="s">
        <v>1083</v>
      </c>
      <c r="C86" s="10" t="s">
        <v>62</v>
      </c>
      <c r="D86" s="10" t="s">
        <v>1084</v>
      </c>
      <c r="E86" s="10" t="s">
        <v>938</v>
      </c>
      <c r="F86" s="10"/>
      <c r="G86" s="12"/>
      <c r="H86" s="12"/>
    </row>
    <row r="87" customFormat="false" ht="27.75" hidden="false" customHeight="true" outlineLevel="0" collapsed="false">
      <c r="A87" s="10"/>
      <c r="B87" s="10" t="s">
        <v>1085</v>
      </c>
      <c r="C87" s="10" t="s">
        <v>62</v>
      </c>
      <c r="D87" s="10" t="s">
        <v>999</v>
      </c>
      <c r="E87" s="10" t="s">
        <v>938</v>
      </c>
      <c r="F87" s="10"/>
      <c r="G87" s="12"/>
      <c r="H87" s="12"/>
    </row>
    <row r="88" customFormat="false" ht="27.75" hidden="false" customHeight="true" outlineLevel="0" collapsed="false">
      <c r="A88" s="10"/>
      <c r="B88" s="10" t="s">
        <v>1086</v>
      </c>
      <c r="C88" s="10" t="s">
        <v>1087</v>
      </c>
      <c r="D88" s="10" t="s">
        <v>1016</v>
      </c>
      <c r="E88" s="10" t="s">
        <v>938</v>
      </c>
      <c r="F88" s="10"/>
      <c r="G88" s="12"/>
      <c r="H88" s="12"/>
    </row>
    <row r="89" customFormat="false" ht="27.75" hidden="false" customHeight="true" outlineLevel="0" collapsed="false">
      <c r="A89" s="10"/>
      <c r="B89" s="10" t="s">
        <v>1088</v>
      </c>
      <c r="C89" s="10" t="s">
        <v>62</v>
      </c>
      <c r="D89" s="10" t="s">
        <v>1089</v>
      </c>
      <c r="E89" s="10" t="s">
        <v>938</v>
      </c>
      <c r="F89" s="10"/>
      <c r="G89" s="12"/>
      <c r="H89" s="12"/>
    </row>
    <row r="90" customFormat="false" ht="27.75" hidden="false" customHeight="true" outlineLevel="0" collapsed="false">
      <c r="A90" s="10"/>
      <c r="B90" s="10" t="s">
        <v>1090</v>
      </c>
      <c r="C90" s="10" t="s">
        <v>62</v>
      </c>
      <c r="D90" s="10" t="s">
        <v>1016</v>
      </c>
      <c r="E90" s="10" t="s">
        <v>938</v>
      </c>
      <c r="F90" s="10"/>
      <c r="G90" s="12"/>
      <c r="H90" s="12"/>
    </row>
    <row r="91" customFormat="false" ht="42" hidden="false" customHeight="true" outlineLevel="0" collapsed="false">
      <c r="A91" s="16"/>
      <c r="B91" s="16" t="s">
        <v>1091</v>
      </c>
      <c r="C91" s="16" t="s">
        <v>62</v>
      </c>
      <c r="D91" s="16" t="s">
        <v>1092</v>
      </c>
      <c r="E91" s="20" t="s">
        <v>958</v>
      </c>
      <c r="F91" s="16" t="s">
        <v>1093</v>
      </c>
      <c r="G91" s="17"/>
      <c r="H91" s="17"/>
    </row>
    <row r="92" customFormat="false" ht="27.75" hidden="false" customHeight="true" outlineLevel="0" collapsed="false">
      <c r="A92" s="10" t="s">
        <v>578</v>
      </c>
      <c r="B92" s="10" t="s">
        <v>1094</v>
      </c>
      <c r="C92" s="10" t="s">
        <v>1095</v>
      </c>
      <c r="D92" s="10" t="s">
        <v>999</v>
      </c>
      <c r="E92" s="10" t="s">
        <v>938</v>
      </c>
      <c r="F92" s="10"/>
      <c r="G92" s="12"/>
      <c r="H92" s="12"/>
    </row>
    <row r="93" customFormat="false" ht="27.75" hidden="false" customHeight="true" outlineLevel="0" collapsed="false">
      <c r="A93" s="10"/>
      <c r="B93" s="10" t="s">
        <v>965</v>
      </c>
      <c r="C93" s="10" t="s">
        <v>966</v>
      </c>
      <c r="D93" s="10" t="s">
        <v>344</v>
      </c>
      <c r="E93" s="10" t="s">
        <v>938</v>
      </c>
      <c r="F93" s="10"/>
      <c r="G93" s="12"/>
      <c r="H93" s="12"/>
    </row>
    <row r="94" customFormat="false" ht="27.75" hidden="false" customHeight="true" outlineLevel="0" collapsed="false">
      <c r="A94" s="10"/>
      <c r="B94" s="10" t="s">
        <v>1086</v>
      </c>
      <c r="C94" s="10" t="s">
        <v>1087</v>
      </c>
      <c r="D94" s="10" t="s">
        <v>1016</v>
      </c>
      <c r="E94" s="10" t="s">
        <v>938</v>
      </c>
      <c r="F94" s="10"/>
      <c r="G94" s="12"/>
      <c r="H94" s="12"/>
    </row>
    <row r="95" customFormat="false" ht="27.75" hidden="false" customHeight="true" outlineLevel="0" collapsed="false">
      <c r="A95" s="10"/>
      <c r="B95" s="10" t="s">
        <v>1096</v>
      </c>
      <c r="C95" s="10" t="s">
        <v>1097</v>
      </c>
      <c r="D95" s="10" t="s">
        <v>999</v>
      </c>
      <c r="E95" s="10" t="s">
        <v>938</v>
      </c>
      <c r="F95" s="10"/>
      <c r="G95" s="12"/>
      <c r="H95" s="12"/>
    </row>
    <row r="96" customFormat="false" ht="27.75" hidden="false" customHeight="true" outlineLevel="0" collapsed="false">
      <c r="A96" s="10"/>
      <c r="B96" s="10" t="s">
        <v>1003</v>
      </c>
      <c r="C96" s="10" t="s">
        <v>1004</v>
      </c>
      <c r="D96" s="10" t="s">
        <v>344</v>
      </c>
      <c r="E96" s="10" t="s">
        <v>938</v>
      </c>
      <c r="F96" s="10"/>
      <c r="G96" s="12"/>
      <c r="H96" s="12"/>
    </row>
    <row r="97" customFormat="false" ht="27.75" hidden="false" customHeight="true" outlineLevel="0" collapsed="false">
      <c r="A97" s="10"/>
      <c r="B97" s="10" t="s">
        <v>950</v>
      </c>
      <c r="C97" s="10" t="s">
        <v>951</v>
      </c>
      <c r="D97" s="10" t="s">
        <v>952</v>
      </c>
      <c r="E97" s="10" t="s">
        <v>938</v>
      </c>
      <c r="F97" s="10"/>
      <c r="G97" s="12"/>
      <c r="H97" s="12"/>
    </row>
    <row r="98" customFormat="false" ht="27.75" hidden="false" customHeight="true" outlineLevel="0" collapsed="false">
      <c r="A98" s="10"/>
      <c r="B98" s="10" t="s">
        <v>953</v>
      </c>
      <c r="C98" s="10" t="s">
        <v>954</v>
      </c>
      <c r="D98" s="10" t="s">
        <v>955</v>
      </c>
      <c r="E98" s="10" t="s">
        <v>938</v>
      </c>
      <c r="F98" s="10"/>
      <c r="G98" s="12"/>
      <c r="H98" s="12"/>
    </row>
    <row r="99" customFormat="false" ht="42" hidden="false" customHeight="true" outlineLevel="0" collapsed="false">
      <c r="A99" s="16"/>
      <c r="B99" s="16" t="s">
        <v>1098</v>
      </c>
      <c r="C99" s="16" t="s">
        <v>62</v>
      </c>
      <c r="D99" s="16" t="s">
        <v>1092</v>
      </c>
      <c r="E99" s="20" t="s">
        <v>958</v>
      </c>
      <c r="F99" s="16" t="s">
        <v>1099</v>
      </c>
      <c r="G99" s="17"/>
      <c r="H99" s="17"/>
    </row>
    <row r="100" customFormat="false" ht="27.75" hidden="false" customHeight="true" outlineLevel="0" collapsed="false">
      <c r="A100" s="10" t="s">
        <v>666</v>
      </c>
      <c r="B100" s="10" t="s">
        <v>1100</v>
      </c>
      <c r="C100" s="10" t="s">
        <v>1101</v>
      </c>
      <c r="D100" s="10" t="s">
        <v>999</v>
      </c>
      <c r="E100" s="10" t="s">
        <v>938</v>
      </c>
      <c r="F100" s="10"/>
      <c r="G100" s="12"/>
      <c r="H100" s="12"/>
    </row>
    <row r="101" customFormat="false" ht="27.75" hidden="false" customHeight="true" outlineLevel="0" collapsed="false">
      <c r="A101" s="10"/>
      <c r="B101" s="10" t="s">
        <v>936</v>
      </c>
      <c r="C101" s="10" t="s">
        <v>62</v>
      </c>
      <c r="D101" s="10" t="s">
        <v>937</v>
      </c>
      <c r="E101" s="10" t="s">
        <v>938</v>
      </c>
      <c r="F101" s="10"/>
      <c r="G101" s="12"/>
      <c r="H101" s="12"/>
    </row>
    <row r="102" customFormat="false" ht="27.75" hidden="false" customHeight="true" outlineLevel="0" collapsed="false">
      <c r="A102" s="10"/>
      <c r="B102" s="10" t="s">
        <v>1102</v>
      </c>
      <c r="C102" s="10" t="s">
        <v>62</v>
      </c>
      <c r="D102" s="10" t="s">
        <v>1103</v>
      </c>
      <c r="E102" s="10" t="s">
        <v>938</v>
      </c>
      <c r="F102" s="10"/>
      <c r="G102" s="12"/>
      <c r="H102" s="12"/>
    </row>
    <row r="103" customFormat="false" ht="27.75" hidden="false" customHeight="true" outlineLevel="0" collapsed="false">
      <c r="A103" s="10"/>
      <c r="B103" s="10" t="s">
        <v>1104</v>
      </c>
      <c r="C103" s="10" t="s">
        <v>62</v>
      </c>
      <c r="D103" s="10" t="s">
        <v>999</v>
      </c>
      <c r="E103" s="10" t="s">
        <v>938</v>
      </c>
      <c r="F103" s="10"/>
      <c r="G103" s="12"/>
      <c r="H103" s="12"/>
    </row>
    <row r="104" customFormat="false" ht="27.75" hidden="false" customHeight="true" outlineLevel="0" collapsed="false">
      <c r="A104" s="10"/>
      <c r="B104" s="10" t="s">
        <v>1105</v>
      </c>
      <c r="C104" s="10" t="s">
        <v>62</v>
      </c>
      <c r="D104" s="10" t="s">
        <v>1106</v>
      </c>
      <c r="E104" s="10" t="s">
        <v>938</v>
      </c>
      <c r="F104" s="10"/>
      <c r="G104" s="12"/>
      <c r="H104" s="12"/>
    </row>
    <row r="105" customFormat="false" ht="27.75" hidden="false" customHeight="true" outlineLevel="0" collapsed="false">
      <c r="A105" s="10"/>
      <c r="B105" s="10" t="s">
        <v>1107</v>
      </c>
      <c r="C105" s="10" t="s">
        <v>62</v>
      </c>
      <c r="D105" s="10" t="s">
        <v>1108</v>
      </c>
      <c r="E105" s="10" t="s">
        <v>938</v>
      </c>
      <c r="F105" s="10"/>
      <c r="G105" s="12"/>
      <c r="H105" s="12"/>
    </row>
    <row r="106" customFormat="false" ht="27.75" hidden="false" customHeight="true" outlineLevel="0" collapsed="false">
      <c r="A106" s="10"/>
      <c r="B106" s="10" t="s">
        <v>1053</v>
      </c>
      <c r="C106" s="10" t="s">
        <v>1054</v>
      </c>
      <c r="D106" s="10" t="s">
        <v>344</v>
      </c>
      <c r="E106" s="10" t="s">
        <v>938</v>
      </c>
      <c r="F106" s="10"/>
      <c r="G106" s="12"/>
      <c r="H106" s="12"/>
    </row>
    <row r="107" customFormat="false" ht="42" hidden="false" customHeight="true" outlineLevel="0" collapsed="false">
      <c r="A107" s="16"/>
      <c r="B107" s="16" t="s">
        <v>1109</v>
      </c>
      <c r="C107" s="16" t="s">
        <v>62</v>
      </c>
      <c r="D107" s="16" t="s">
        <v>1092</v>
      </c>
      <c r="E107" s="20" t="s">
        <v>958</v>
      </c>
      <c r="F107" s="16" t="s">
        <v>1110</v>
      </c>
      <c r="G107" s="17"/>
      <c r="H107" s="17"/>
    </row>
    <row r="108" customFormat="false" ht="27.75" hidden="false" customHeight="true" outlineLevel="0" collapsed="false">
      <c r="A108" s="10" t="s">
        <v>716</v>
      </c>
      <c r="B108" s="10" t="s">
        <v>990</v>
      </c>
      <c r="C108" s="10" t="s">
        <v>991</v>
      </c>
      <c r="D108" s="10" t="s">
        <v>992</v>
      </c>
      <c r="E108" s="10" t="s">
        <v>938</v>
      </c>
      <c r="F108" s="10"/>
      <c r="G108" s="12"/>
      <c r="H108" s="12"/>
    </row>
    <row r="109" customFormat="false" ht="27.75" hidden="false" customHeight="true" outlineLevel="0" collapsed="false">
      <c r="A109" s="10"/>
      <c r="B109" s="10" t="s">
        <v>936</v>
      </c>
      <c r="C109" s="10" t="s">
        <v>62</v>
      </c>
      <c r="D109" s="10" t="s">
        <v>937</v>
      </c>
      <c r="E109" s="10" t="s">
        <v>938</v>
      </c>
      <c r="F109" s="10"/>
      <c r="G109" s="12"/>
      <c r="H109" s="12"/>
    </row>
    <row r="110" customFormat="false" ht="27.75" hidden="false" customHeight="true" outlineLevel="0" collapsed="false">
      <c r="A110" s="10"/>
      <c r="B110" s="10" t="s">
        <v>1111</v>
      </c>
      <c r="C110" s="10" t="s">
        <v>1112</v>
      </c>
      <c r="D110" s="10" t="s">
        <v>1016</v>
      </c>
      <c r="E110" s="10" t="s">
        <v>938</v>
      </c>
      <c r="F110" s="10"/>
      <c r="G110" s="12"/>
      <c r="H110" s="12"/>
    </row>
    <row r="111" customFormat="false" ht="27.75" hidden="false" customHeight="true" outlineLevel="0" collapsed="false">
      <c r="A111" s="10"/>
      <c r="B111" s="10" t="s">
        <v>1113</v>
      </c>
      <c r="C111" s="10" t="s">
        <v>62</v>
      </c>
      <c r="D111" s="10" t="s">
        <v>975</v>
      </c>
      <c r="E111" s="10" t="s">
        <v>938</v>
      </c>
      <c r="F111" s="10"/>
      <c r="G111" s="12"/>
      <c r="H111" s="12"/>
    </row>
    <row r="112" customFormat="false" ht="27.75" hidden="false" customHeight="true" outlineLevel="0" collapsed="false">
      <c r="A112" s="10"/>
      <c r="B112" s="10" t="s">
        <v>947</v>
      </c>
      <c r="C112" s="10" t="s">
        <v>948</v>
      </c>
      <c r="D112" s="10" t="s">
        <v>949</v>
      </c>
      <c r="E112" s="10" t="s">
        <v>938</v>
      </c>
      <c r="F112" s="10"/>
      <c r="G112" s="12"/>
      <c r="H112" s="12"/>
    </row>
    <row r="113" customFormat="false" ht="27.75" hidden="false" customHeight="true" outlineLevel="0" collapsed="false">
      <c r="A113" s="10"/>
      <c r="B113" s="10" t="s">
        <v>950</v>
      </c>
      <c r="C113" s="10" t="s">
        <v>951</v>
      </c>
      <c r="D113" s="10" t="s">
        <v>952</v>
      </c>
      <c r="E113" s="10" t="s">
        <v>938</v>
      </c>
      <c r="F113" s="10"/>
      <c r="G113" s="12"/>
      <c r="H113" s="12"/>
    </row>
    <row r="114" customFormat="false" ht="42" hidden="false" customHeight="true" outlineLevel="0" collapsed="false">
      <c r="A114" s="16"/>
      <c r="B114" s="16" t="s">
        <v>1114</v>
      </c>
      <c r="C114" s="16" t="s">
        <v>62</v>
      </c>
      <c r="D114" s="16" t="s">
        <v>978</v>
      </c>
      <c r="E114" s="20" t="s">
        <v>958</v>
      </c>
      <c r="F114" s="16" t="s">
        <v>1115</v>
      </c>
      <c r="G114" s="17"/>
      <c r="H114" s="17"/>
    </row>
    <row r="115" customFormat="false" ht="27.75" hidden="false" customHeight="true" outlineLevel="0" collapsed="false">
      <c r="A115" s="10" t="s">
        <v>749</v>
      </c>
      <c r="B115" s="10" t="s">
        <v>1116</v>
      </c>
      <c r="C115" s="10" t="s">
        <v>1117</v>
      </c>
      <c r="D115" s="10" t="s">
        <v>999</v>
      </c>
      <c r="E115" s="10" t="s">
        <v>938</v>
      </c>
      <c r="F115" s="10"/>
      <c r="G115" s="12"/>
      <c r="H115" s="12"/>
    </row>
    <row r="116" customFormat="false" ht="27.75" hidden="false" customHeight="true" outlineLevel="0" collapsed="false">
      <c r="A116" s="10"/>
      <c r="B116" s="10" t="s">
        <v>1118</v>
      </c>
      <c r="C116" s="10" t="s">
        <v>1119</v>
      </c>
      <c r="D116" s="10" t="s">
        <v>1084</v>
      </c>
      <c r="E116" s="10" t="s">
        <v>938</v>
      </c>
      <c r="F116" s="10"/>
      <c r="G116" s="12"/>
      <c r="H116" s="12"/>
    </row>
    <row r="117" customFormat="false" ht="27.75" hidden="false" customHeight="true" outlineLevel="0" collapsed="false">
      <c r="A117" s="10"/>
      <c r="B117" s="10" t="s">
        <v>1120</v>
      </c>
      <c r="C117" s="10" t="s">
        <v>1121</v>
      </c>
      <c r="D117" s="10" t="s">
        <v>1122</v>
      </c>
      <c r="E117" s="10" t="s">
        <v>938</v>
      </c>
      <c r="F117" s="10"/>
      <c r="G117" s="12"/>
      <c r="H117" s="12"/>
    </row>
    <row r="118" customFormat="false" ht="27.75" hidden="false" customHeight="true" outlineLevel="0" collapsed="false">
      <c r="A118" s="10"/>
      <c r="B118" s="10" t="s">
        <v>1123</v>
      </c>
      <c r="C118" s="10" t="s">
        <v>62</v>
      </c>
      <c r="D118" s="10" t="s">
        <v>344</v>
      </c>
      <c r="E118" s="10" t="s">
        <v>938</v>
      </c>
      <c r="F118" s="10"/>
      <c r="G118" s="12"/>
      <c r="H118" s="12"/>
    </row>
    <row r="119" customFormat="false" ht="27.75" hidden="false" customHeight="true" outlineLevel="0" collapsed="false">
      <c r="A119" s="10"/>
      <c r="B119" s="10" t="s">
        <v>1124</v>
      </c>
      <c r="C119" s="10" t="s">
        <v>1125</v>
      </c>
      <c r="D119" s="10" t="s">
        <v>1016</v>
      </c>
      <c r="E119" s="10" t="s">
        <v>938</v>
      </c>
      <c r="F119" s="10"/>
      <c r="G119" s="12"/>
      <c r="H119" s="12"/>
    </row>
    <row r="120" customFormat="false" ht="27.75" hidden="false" customHeight="true" outlineLevel="0" collapsed="false">
      <c r="A120" s="10"/>
      <c r="B120" s="10" t="s">
        <v>1126</v>
      </c>
      <c r="C120" s="10" t="s">
        <v>62</v>
      </c>
      <c r="D120" s="10" t="s">
        <v>1016</v>
      </c>
      <c r="E120" s="10" t="s">
        <v>938</v>
      </c>
      <c r="F120" s="10"/>
      <c r="G120" s="12"/>
      <c r="H120" s="12"/>
    </row>
    <row r="121" customFormat="false" ht="27.75" hidden="false" customHeight="true" outlineLevel="0" collapsed="false">
      <c r="A121" s="10"/>
      <c r="B121" s="10" t="s">
        <v>1127</v>
      </c>
      <c r="C121" s="10" t="s">
        <v>1128</v>
      </c>
      <c r="D121" s="10" t="s">
        <v>344</v>
      </c>
      <c r="E121" s="10" t="s">
        <v>938</v>
      </c>
      <c r="F121" s="10"/>
      <c r="G121" s="12"/>
      <c r="H121" s="12"/>
    </row>
    <row r="122" customFormat="false" ht="42" hidden="false" customHeight="true" outlineLevel="0" collapsed="false">
      <c r="A122" s="16"/>
      <c r="B122" s="16" t="s">
        <v>1129</v>
      </c>
      <c r="C122" s="16" t="s">
        <v>62</v>
      </c>
      <c r="D122" s="16" t="s">
        <v>978</v>
      </c>
      <c r="E122" s="20" t="s">
        <v>958</v>
      </c>
      <c r="F122" s="16" t="s">
        <v>1130</v>
      </c>
      <c r="G122" s="17"/>
      <c r="H122" s="17"/>
    </row>
  </sheetData>
  <dataValidations count="1">
    <dataValidation allowBlank="true" errorStyle="stop" operator="between" prompt="Vyber áno, nie alebo čiastočne. Pri „nie“ a „čiastočne“ napíš pripomienku." promptTitle="Súhlasíš?" showDropDown="false" showErrorMessage="false" showInputMessage="false" sqref="G3:G122" type="list">
      <formula1>"áno,nie,čiastočne"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40"/>
    <col collapsed="false" customWidth="true" hidden="false" outlineLevel="0" max="4" min="4" style="0" width="46"/>
    <col collapsed="false" customWidth="true" hidden="false" outlineLevel="0" max="5" min="5" style="0" width="52"/>
    <col collapsed="false" customWidth="true" hidden="false" outlineLevel="0" max="6" min="6" style="0" width="30"/>
    <col collapsed="false" customWidth="true" hidden="false" outlineLevel="0" max="7" min="7" style="0" width="11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5" t="s">
        <v>1131</v>
      </c>
    </row>
    <row r="2" customFormat="false" ht="31.5" hidden="false" customHeight="true" outlineLevel="0" collapsed="false">
      <c r="A2" s="9" t="s">
        <v>19</v>
      </c>
      <c r="B2" s="9" t="s">
        <v>48</v>
      </c>
      <c r="C2" s="9" t="s">
        <v>1132</v>
      </c>
      <c r="D2" s="9" t="s">
        <v>1133</v>
      </c>
      <c r="E2" s="9" t="s">
        <v>1134</v>
      </c>
      <c r="F2" s="9" t="s">
        <v>6</v>
      </c>
      <c r="G2" s="9" t="s">
        <v>21</v>
      </c>
      <c r="H2" s="9" t="s">
        <v>23</v>
      </c>
    </row>
    <row r="3" customFormat="false" ht="90" hidden="false" customHeight="true" outlineLevel="0" collapsed="false">
      <c r="A3" s="10" t="s">
        <v>1135</v>
      </c>
      <c r="B3" s="10" t="s">
        <v>209</v>
      </c>
      <c r="C3" s="10" t="s">
        <v>1136</v>
      </c>
      <c r="D3" s="10" t="s">
        <v>1137</v>
      </c>
      <c r="E3" s="10" t="s">
        <v>1138</v>
      </c>
      <c r="F3" s="10"/>
      <c r="G3" s="12"/>
      <c r="H3" s="12"/>
    </row>
    <row r="4" customFormat="false" ht="90" hidden="false" customHeight="true" outlineLevel="0" collapsed="false">
      <c r="A4" s="10" t="s">
        <v>1139</v>
      </c>
      <c r="B4" s="10" t="s">
        <v>259</v>
      </c>
      <c r="C4" s="10" t="s">
        <v>1140</v>
      </c>
      <c r="D4" s="10" t="s">
        <v>1141</v>
      </c>
      <c r="E4" s="10" t="s">
        <v>1142</v>
      </c>
      <c r="F4" s="10"/>
      <c r="G4" s="12"/>
      <c r="H4" s="12"/>
    </row>
    <row r="5" customFormat="false" ht="90" hidden="false" customHeight="true" outlineLevel="0" collapsed="false">
      <c r="A5" s="10" t="s">
        <v>1143</v>
      </c>
      <c r="B5" s="10" t="s">
        <v>284</v>
      </c>
      <c r="C5" s="10" t="s">
        <v>1144</v>
      </c>
      <c r="D5" s="10" t="s">
        <v>1145</v>
      </c>
      <c r="E5" s="10" t="s">
        <v>1146</v>
      </c>
      <c r="F5" s="10"/>
      <c r="G5" s="12"/>
      <c r="H5" s="12"/>
    </row>
    <row r="6" customFormat="false" ht="90" hidden="false" customHeight="true" outlineLevel="0" collapsed="false">
      <c r="A6" s="10" t="s">
        <v>1147</v>
      </c>
      <c r="B6" s="10" t="s">
        <v>259</v>
      </c>
      <c r="C6" s="10" t="s">
        <v>1148</v>
      </c>
      <c r="D6" s="10" t="s">
        <v>1149</v>
      </c>
      <c r="E6" s="10" t="s">
        <v>1150</v>
      </c>
      <c r="F6" s="10" t="s">
        <v>1151</v>
      </c>
      <c r="G6" s="12"/>
      <c r="H6" s="12"/>
    </row>
    <row r="7" customFormat="false" ht="90" hidden="false" customHeight="true" outlineLevel="0" collapsed="false">
      <c r="A7" s="10" t="s">
        <v>1152</v>
      </c>
      <c r="B7" s="10" t="s">
        <v>209</v>
      </c>
      <c r="C7" s="10" t="s">
        <v>1153</v>
      </c>
      <c r="D7" s="10" t="s">
        <v>1154</v>
      </c>
      <c r="E7" s="10" t="s">
        <v>1155</v>
      </c>
      <c r="F7" s="10" t="s">
        <v>1151</v>
      </c>
      <c r="G7" s="12"/>
      <c r="H7" s="12"/>
    </row>
    <row r="8" customFormat="false" ht="90" hidden="false" customHeight="true" outlineLevel="0" collapsed="false">
      <c r="A8" s="10" t="s">
        <v>1156</v>
      </c>
      <c r="B8" s="10" t="s">
        <v>284</v>
      </c>
      <c r="C8" s="10" t="s">
        <v>1157</v>
      </c>
      <c r="D8" s="10" t="s">
        <v>1158</v>
      </c>
      <c r="E8" s="10" t="s">
        <v>1159</v>
      </c>
      <c r="F8" s="10"/>
      <c r="G8" s="12"/>
      <c r="H8" s="12"/>
    </row>
    <row r="9" customFormat="false" ht="90" hidden="false" customHeight="true" outlineLevel="0" collapsed="false">
      <c r="A9" s="10" t="s">
        <v>1160</v>
      </c>
      <c r="B9" s="10" t="s">
        <v>468</v>
      </c>
      <c r="C9" s="10" t="s">
        <v>1161</v>
      </c>
      <c r="D9" s="10" t="s">
        <v>1162</v>
      </c>
      <c r="E9" s="10" t="s">
        <v>1163</v>
      </c>
      <c r="F9" s="10"/>
      <c r="G9" s="12"/>
      <c r="H9" s="12"/>
    </row>
    <row r="10" customFormat="false" ht="90" hidden="false" customHeight="true" outlineLevel="0" collapsed="false">
      <c r="A10" s="10" t="s">
        <v>1164</v>
      </c>
      <c r="B10" s="10" t="s">
        <v>284</v>
      </c>
      <c r="C10" s="10" t="s">
        <v>1165</v>
      </c>
      <c r="D10" s="10" t="s">
        <v>1166</v>
      </c>
      <c r="E10" s="10" t="s">
        <v>1167</v>
      </c>
      <c r="F10" s="10"/>
      <c r="G10" s="12"/>
      <c r="H10" s="12"/>
    </row>
    <row r="11" customFormat="false" ht="90" hidden="false" customHeight="true" outlineLevel="0" collapsed="false">
      <c r="A11" s="10" t="s">
        <v>885</v>
      </c>
      <c r="B11" s="10" t="s">
        <v>209</v>
      </c>
      <c r="C11" s="10" t="s">
        <v>1168</v>
      </c>
      <c r="D11" s="10" t="s">
        <v>1169</v>
      </c>
      <c r="E11" s="10" t="s">
        <v>1170</v>
      </c>
      <c r="F11" s="10" t="s">
        <v>1151</v>
      </c>
      <c r="G11" s="12"/>
      <c r="H11" s="12"/>
    </row>
    <row r="12" customFormat="false" ht="90" hidden="false" customHeight="true" outlineLevel="0" collapsed="false">
      <c r="A12" s="10" t="s">
        <v>1171</v>
      </c>
      <c r="B12" s="10" t="s">
        <v>284</v>
      </c>
      <c r="C12" s="10" t="s">
        <v>1172</v>
      </c>
      <c r="D12" s="10" t="s">
        <v>1173</v>
      </c>
      <c r="E12" s="10" t="s">
        <v>1174</v>
      </c>
      <c r="F12" s="10"/>
      <c r="G12" s="12"/>
      <c r="H12" s="12"/>
    </row>
    <row r="13" customFormat="false" ht="90" hidden="false" customHeight="true" outlineLevel="0" collapsed="false">
      <c r="A13" s="10" t="s">
        <v>1175</v>
      </c>
      <c r="B13" s="10" t="s">
        <v>259</v>
      </c>
      <c r="C13" s="10" t="s">
        <v>1176</v>
      </c>
      <c r="D13" s="10" t="s">
        <v>1177</v>
      </c>
      <c r="E13" s="10" t="s">
        <v>1178</v>
      </c>
      <c r="F13" s="10"/>
      <c r="G13" s="12"/>
      <c r="H13" s="12"/>
    </row>
    <row r="14" customFormat="false" ht="90" hidden="false" customHeight="true" outlineLevel="0" collapsed="false">
      <c r="A14" s="10" t="s">
        <v>1179</v>
      </c>
      <c r="B14" s="10" t="s">
        <v>714</v>
      </c>
      <c r="C14" s="10" t="s">
        <v>1180</v>
      </c>
      <c r="D14" s="10" t="s">
        <v>1181</v>
      </c>
      <c r="E14" s="10" t="s">
        <v>1182</v>
      </c>
      <c r="F14" s="10"/>
      <c r="G14" s="12"/>
      <c r="H14" s="12"/>
    </row>
    <row r="15" customFormat="false" ht="90" hidden="false" customHeight="true" outlineLevel="0" collapsed="false">
      <c r="A15" s="10" t="s">
        <v>1183</v>
      </c>
      <c r="B15" s="10" t="s">
        <v>209</v>
      </c>
      <c r="C15" s="10" t="s">
        <v>1184</v>
      </c>
      <c r="D15" s="10" t="s">
        <v>1185</v>
      </c>
      <c r="E15" s="10" t="s">
        <v>1186</v>
      </c>
      <c r="F15" s="10" t="s">
        <v>1151</v>
      </c>
      <c r="G15" s="12"/>
      <c r="H15" s="12"/>
    </row>
  </sheetData>
  <dataValidations count="1">
    <dataValidation allowBlank="true" errorStyle="stop" operator="between" prompt="Vyber áno, nie alebo čiastočne. Pri „nie“ a „čiastočne“ napíš pripomienku." promptTitle="Súhlasíš?" showDropDown="false" showErrorMessage="false" showInputMessage="false" sqref="G3:G15" type="list">
      <formula1>"áno,nie,čiastočne"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46"/>
    <col collapsed="false" customWidth="true" hidden="false" outlineLevel="0" max="6" min="6" style="0" width="11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5" t="s">
        <v>1187</v>
      </c>
    </row>
    <row r="2" customFormat="false" ht="31.5" hidden="false" customHeight="true" outlineLevel="0" collapsed="false">
      <c r="A2" s="9" t="s">
        <v>1188</v>
      </c>
      <c r="B2" s="9" t="s">
        <v>1189</v>
      </c>
      <c r="C2" s="9" t="s">
        <v>1190</v>
      </c>
      <c r="D2" s="9" t="s">
        <v>1191</v>
      </c>
      <c r="E2" s="9" t="s">
        <v>6</v>
      </c>
      <c r="F2" s="9" t="s">
        <v>21</v>
      </c>
      <c r="G2" s="9" t="s">
        <v>23</v>
      </c>
    </row>
    <row r="3" customFormat="false" ht="55.5" hidden="false" customHeight="true" outlineLevel="0" collapsed="false">
      <c r="A3" s="10" t="s">
        <v>1192</v>
      </c>
      <c r="B3" s="10" t="s">
        <v>1193</v>
      </c>
      <c r="C3" s="10" t="s">
        <v>1194</v>
      </c>
      <c r="D3" s="10" t="s">
        <v>1195</v>
      </c>
      <c r="E3" s="10" t="s">
        <v>1196</v>
      </c>
      <c r="F3" s="12"/>
      <c r="G3" s="12"/>
    </row>
    <row r="4" customFormat="false" ht="55.5" hidden="false" customHeight="true" outlineLevel="0" collapsed="false">
      <c r="A4" s="10" t="s">
        <v>1197</v>
      </c>
      <c r="B4" s="10" t="s">
        <v>1198</v>
      </c>
      <c r="C4" s="10" t="s">
        <v>1199</v>
      </c>
      <c r="D4" s="10" t="s">
        <v>1200</v>
      </c>
      <c r="E4" s="10" t="s">
        <v>1201</v>
      </c>
      <c r="F4" s="12"/>
      <c r="G4" s="12"/>
    </row>
    <row r="5" customFormat="false" ht="55.5" hidden="false" customHeight="true" outlineLevel="0" collapsed="false">
      <c r="A5" s="10" t="s">
        <v>1202</v>
      </c>
      <c r="B5" s="10" t="s">
        <v>1203</v>
      </c>
      <c r="C5" s="10" t="s">
        <v>1204</v>
      </c>
      <c r="D5" s="10" t="s">
        <v>1205</v>
      </c>
      <c r="E5" s="10" t="s">
        <v>1201</v>
      </c>
      <c r="F5" s="12"/>
      <c r="G5" s="12"/>
    </row>
    <row r="6" customFormat="false" ht="55.5" hidden="false" customHeight="true" outlineLevel="0" collapsed="false">
      <c r="A6" s="10" t="s">
        <v>1206</v>
      </c>
      <c r="B6" s="10" t="s">
        <v>1207</v>
      </c>
      <c r="C6" s="10" t="s">
        <v>1208</v>
      </c>
      <c r="D6" s="10" t="s">
        <v>1209</v>
      </c>
      <c r="E6" s="10" t="s">
        <v>1210</v>
      </c>
      <c r="F6" s="12"/>
      <c r="G6" s="12"/>
    </row>
    <row r="7" customFormat="false" ht="55.5" hidden="false" customHeight="true" outlineLevel="0" collapsed="false">
      <c r="A7" s="10" t="s">
        <v>1211</v>
      </c>
      <c r="B7" s="10" t="s">
        <v>1193</v>
      </c>
      <c r="C7" s="10" t="s">
        <v>1194</v>
      </c>
      <c r="D7" s="10" t="s">
        <v>1195</v>
      </c>
      <c r="E7" s="10"/>
      <c r="F7" s="12"/>
      <c r="G7" s="12"/>
    </row>
    <row r="8" customFormat="false" ht="55.5" hidden="false" customHeight="true" outlineLevel="0" collapsed="false">
      <c r="A8" s="10" t="s">
        <v>1212</v>
      </c>
      <c r="B8" s="10" t="s">
        <v>1198</v>
      </c>
      <c r="C8" s="10" t="s">
        <v>1213</v>
      </c>
      <c r="D8" s="10" t="s">
        <v>1214</v>
      </c>
      <c r="E8" s="10"/>
      <c r="F8" s="12"/>
      <c r="G8" s="12"/>
    </row>
    <row r="9" customFormat="false" ht="55.5" hidden="false" customHeight="true" outlineLevel="0" collapsed="false">
      <c r="A9" s="10" t="s">
        <v>1215</v>
      </c>
      <c r="B9" s="10" t="s">
        <v>1203</v>
      </c>
      <c r="C9" s="10" t="s">
        <v>1204</v>
      </c>
      <c r="D9" s="10" t="s">
        <v>1205</v>
      </c>
      <c r="E9" s="10"/>
      <c r="F9" s="12"/>
      <c r="G9" s="12"/>
    </row>
    <row r="10" customFormat="false" ht="55.5" hidden="false" customHeight="true" outlineLevel="0" collapsed="false">
      <c r="A10" s="10" t="s">
        <v>1216</v>
      </c>
      <c r="B10" s="10" t="s">
        <v>1217</v>
      </c>
      <c r="C10" s="10" t="s">
        <v>1218</v>
      </c>
      <c r="D10" s="10" t="s">
        <v>1219</v>
      </c>
      <c r="E10" s="10" t="s">
        <v>1220</v>
      </c>
      <c r="F10" s="12"/>
      <c r="G10" s="12"/>
    </row>
    <row r="11" customFormat="false" ht="55.5" hidden="false" customHeight="true" outlineLevel="0" collapsed="false">
      <c r="A11" s="10" t="s">
        <v>1221</v>
      </c>
      <c r="B11" s="10" t="s">
        <v>1193</v>
      </c>
      <c r="C11" s="10" t="s">
        <v>1194</v>
      </c>
      <c r="D11" s="10" t="s">
        <v>1195</v>
      </c>
      <c r="E11" s="10"/>
      <c r="F11" s="12"/>
      <c r="G11" s="12"/>
    </row>
    <row r="12" customFormat="false" ht="55.5" hidden="false" customHeight="true" outlineLevel="0" collapsed="false">
      <c r="A12" s="10" t="s">
        <v>1222</v>
      </c>
      <c r="B12" s="10" t="s">
        <v>1223</v>
      </c>
      <c r="C12" s="10" t="s">
        <v>1224</v>
      </c>
      <c r="D12" s="10" t="s">
        <v>1225</v>
      </c>
      <c r="E12" s="10"/>
      <c r="F12" s="12"/>
      <c r="G12" s="12"/>
    </row>
    <row r="13" customFormat="false" ht="55.5" hidden="false" customHeight="true" outlineLevel="0" collapsed="false">
      <c r="A13" s="10" t="s">
        <v>1226</v>
      </c>
      <c r="B13" s="10" t="s">
        <v>1227</v>
      </c>
      <c r="C13" s="10" t="s">
        <v>1228</v>
      </c>
      <c r="D13" s="10" t="s">
        <v>1229</v>
      </c>
      <c r="E13" s="10" t="s">
        <v>1230</v>
      </c>
      <c r="F13" s="12"/>
      <c r="G13" s="12"/>
    </row>
    <row r="14" customFormat="false" ht="55.5" hidden="false" customHeight="true" outlineLevel="0" collapsed="false">
      <c r="A14" s="10" t="s">
        <v>1231</v>
      </c>
      <c r="B14" s="10" t="s">
        <v>1232</v>
      </c>
      <c r="C14" s="10" t="s">
        <v>1233</v>
      </c>
      <c r="D14" s="10" t="s">
        <v>1234</v>
      </c>
      <c r="E14" s="10" t="s">
        <v>1230</v>
      </c>
      <c r="F14" s="12"/>
      <c r="G14" s="12"/>
    </row>
    <row r="15" customFormat="false" ht="43.5" hidden="false" customHeight="true" outlineLevel="0" collapsed="false">
      <c r="A15" s="10" t="s">
        <v>1235</v>
      </c>
      <c r="B15" s="10" t="s">
        <v>1236</v>
      </c>
      <c r="C15" s="10"/>
      <c r="D15" s="10"/>
      <c r="E15" s="10" t="s">
        <v>1237</v>
      </c>
      <c r="F15" s="12"/>
      <c r="G15" s="12"/>
    </row>
    <row r="16" customFormat="false" ht="43.5" hidden="false" customHeight="true" outlineLevel="0" collapsed="false">
      <c r="A16" s="10" t="s">
        <v>1238</v>
      </c>
      <c r="B16" s="10" t="s">
        <v>1239</v>
      </c>
      <c r="C16" s="10"/>
      <c r="D16" s="10"/>
      <c r="E16" s="10" t="s">
        <v>1240</v>
      </c>
      <c r="F16" s="12"/>
      <c r="G16" s="12"/>
    </row>
    <row r="17" customFormat="false" ht="43.5" hidden="false" customHeight="true" outlineLevel="0" collapsed="false">
      <c r="A17" s="10" t="s">
        <v>1241</v>
      </c>
      <c r="B17" s="10" t="s">
        <v>1242</v>
      </c>
      <c r="C17" s="10"/>
      <c r="D17" s="10"/>
      <c r="E17" s="10" t="s">
        <v>1243</v>
      </c>
      <c r="F17" s="12"/>
      <c r="G17" s="12"/>
    </row>
    <row r="18" customFormat="false" ht="43.5" hidden="false" customHeight="true" outlineLevel="0" collapsed="false">
      <c r="A18" s="10" t="s">
        <v>1244</v>
      </c>
      <c r="B18" s="10" t="s">
        <v>1245</v>
      </c>
      <c r="C18" s="10"/>
      <c r="D18" s="10"/>
      <c r="E18" s="10"/>
      <c r="F18" s="12"/>
      <c r="G18" s="12"/>
    </row>
    <row r="19" customFormat="false" ht="43.5" hidden="false" customHeight="true" outlineLevel="0" collapsed="false">
      <c r="A19" s="10" t="s">
        <v>1246</v>
      </c>
      <c r="B19" s="10" t="s">
        <v>1247</v>
      </c>
      <c r="C19" s="10"/>
      <c r="D19" s="10"/>
      <c r="E19" s="10" t="s">
        <v>1248</v>
      </c>
      <c r="F19" s="12"/>
      <c r="G19" s="12"/>
    </row>
    <row r="21" customFormat="false" ht="15" hidden="false" customHeight="false" outlineLevel="0" collapsed="false">
      <c r="A21" s="5" t="s">
        <v>1249</v>
      </c>
    </row>
    <row r="22" customFormat="false" ht="31.5" hidden="false" customHeight="true" outlineLevel="0" collapsed="false">
      <c r="A22" s="9" t="s">
        <v>1250</v>
      </c>
      <c r="B22" s="9" t="s">
        <v>1251</v>
      </c>
      <c r="C22" s="9" t="s">
        <v>1252</v>
      </c>
      <c r="D22" s="9" t="s">
        <v>1253</v>
      </c>
      <c r="E22" s="9" t="s">
        <v>6</v>
      </c>
      <c r="F22" s="9" t="s">
        <v>21</v>
      </c>
      <c r="G22" s="9" t="s">
        <v>23</v>
      </c>
    </row>
    <row r="23" customFormat="false" ht="42" hidden="false" customHeight="true" outlineLevel="0" collapsed="false">
      <c r="A23" s="10" t="s">
        <v>1254</v>
      </c>
      <c r="B23" s="10" t="s">
        <v>1255</v>
      </c>
      <c r="C23" s="10" t="s">
        <v>1256</v>
      </c>
      <c r="D23" s="10" t="s">
        <v>62</v>
      </c>
      <c r="E23" s="10" t="s">
        <v>1257</v>
      </c>
      <c r="F23" s="12"/>
      <c r="G23" s="12"/>
    </row>
    <row r="24" customFormat="false" ht="42" hidden="false" customHeight="true" outlineLevel="0" collapsed="false">
      <c r="A24" s="10" t="s">
        <v>1258</v>
      </c>
      <c r="B24" s="10" t="s">
        <v>1259</v>
      </c>
      <c r="C24" s="10" t="s">
        <v>1256</v>
      </c>
      <c r="D24" s="10" t="s">
        <v>62</v>
      </c>
      <c r="E24" s="10"/>
      <c r="F24" s="12"/>
      <c r="G24" s="12"/>
    </row>
    <row r="25" customFormat="false" ht="42" hidden="false" customHeight="true" outlineLevel="0" collapsed="false">
      <c r="A25" s="10" t="s">
        <v>1260</v>
      </c>
      <c r="B25" s="10" t="s">
        <v>1261</v>
      </c>
      <c r="C25" s="10" t="s">
        <v>1256</v>
      </c>
      <c r="D25" s="10" t="s">
        <v>62</v>
      </c>
      <c r="E25" s="10"/>
      <c r="F25" s="12"/>
      <c r="G25" s="12"/>
    </row>
    <row r="26" customFormat="false" ht="42" hidden="false" customHeight="true" outlineLevel="0" collapsed="false">
      <c r="A26" s="10" t="s">
        <v>1262</v>
      </c>
      <c r="B26" s="10" t="s">
        <v>1263</v>
      </c>
      <c r="C26" s="10" t="s">
        <v>1264</v>
      </c>
      <c r="D26" s="10" t="s">
        <v>1265</v>
      </c>
      <c r="E26" s="10"/>
      <c r="F26" s="12"/>
      <c r="G26" s="12"/>
    </row>
    <row r="27" customFormat="false" ht="42" hidden="false" customHeight="true" outlineLevel="0" collapsed="false">
      <c r="A27" s="10" t="s">
        <v>1266</v>
      </c>
      <c r="B27" s="10" t="s">
        <v>1267</v>
      </c>
      <c r="C27" s="10" t="s">
        <v>1264</v>
      </c>
      <c r="D27" s="10" t="s">
        <v>1268</v>
      </c>
      <c r="E27" s="10"/>
      <c r="F27" s="12"/>
      <c r="G27" s="12"/>
    </row>
    <row r="28" customFormat="false" ht="42" hidden="false" customHeight="true" outlineLevel="0" collapsed="false">
      <c r="A28" s="10" t="s">
        <v>1269</v>
      </c>
      <c r="B28" s="10" t="s">
        <v>1259</v>
      </c>
      <c r="C28" s="10" t="s">
        <v>1256</v>
      </c>
      <c r="D28" s="10" t="s">
        <v>62</v>
      </c>
      <c r="E28" s="10"/>
      <c r="F28" s="12"/>
      <c r="G28" s="12"/>
    </row>
    <row r="29" customFormat="false" ht="42" hidden="false" customHeight="true" outlineLevel="0" collapsed="false">
      <c r="A29" s="10" t="s">
        <v>1270</v>
      </c>
      <c r="B29" s="10" t="s">
        <v>1271</v>
      </c>
      <c r="C29" s="10" t="s">
        <v>1256</v>
      </c>
      <c r="D29" s="10" t="s">
        <v>62</v>
      </c>
      <c r="E29" s="10"/>
      <c r="F29" s="12"/>
      <c r="G29" s="12"/>
    </row>
    <row r="30" customFormat="false" ht="42" hidden="false" customHeight="true" outlineLevel="0" collapsed="false">
      <c r="A30" s="10" t="s">
        <v>1272</v>
      </c>
      <c r="B30" s="10" t="s">
        <v>1273</v>
      </c>
      <c r="C30" s="10" t="s">
        <v>1264</v>
      </c>
      <c r="D30" s="10" t="s">
        <v>1274</v>
      </c>
      <c r="E30" s="10"/>
      <c r="F30" s="12"/>
      <c r="G30" s="12"/>
    </row>
    <row r="31" customFormat="false" ht="42" hidden="false" customHeight="true" outlineLevel="0" collapsed="false">
      <c r="A31" s="10" t="s">
        <v>1275</v>
      </c>
      <c r="B31" s="10" t="s">
        <v>1276</v>
      </c>
      <c r="C31" s="10" t="s">
        <v>1264</v>
      </c>
      <c r="D31" s="10" t="s">
        <v>1277</v>
      </c>
      <c r="E31" s="10"/>
      <c r="F31" s="12"/>
      <c r="G31" s="12"/>
    </row>
  </sheetData>
  <dataValidations count="1">
    <dataValidation allowBlank="true" errorStyle="stop" operator="between" prompt="Vyber áno, nie alebo čiastočne. Pri „nie“ a „čiastočne“ napíš pripomienku." promptTitle="Súhlasíš?" showDropDown="false" showErrorMessage="false" showInputMessage="false" sqref="F3:F31" type="list">
      <formula1>"áno,nie,čiastočne"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2026-10-26T06:19:53Z</dcterms:created>
  <dc:creator>openpyxl</dc:creator>
  <dc:description/>
  <dc:language>en-US</dc:language>
  <cp:lastModifiedBy/>
  <dcterms:modified xsi:type="dcterms:W3CDTF">2026-10-26T06:19:54Z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